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638ef6d17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3b8f980d311477b"/>
    <x:sheet xmlns:r="http://schemas.openxmlformats.org/officeDocument/2006/relationships" name="Routes" sheetId="2" r:id="R0462dff2e2934358"/>
    <x:sheet xmlns:r="http://schemas.openxmlformats.org/officeDocument/2006/relationships" name="Compatibility Gates" sheetId="3" r:id="R4f8185165a8942ba"/>
    <x:sheet xmlns:r="http://schemas.openxmlformats.org/officeDocument/2006/relationships" name="Job Gate Map" sheetId="4" r:id="R0dee58d89dab4fd6"/>
    <x:sheet xmlns:r="http://schemas.openxmlformats.org/officeDocument/2006/relationships" name="Print Queue" sheetId="5" r:id="R9b5a8df08e264ead"/>
    <x:sheet xmlns:r="http://schemas.openxmlformats.org/officeDocument/2006/relationships" name="Part Map" sheetId="6" r:id="R3af82f1fe5884ac5"/>
    <x:sheet xmlns:r="http://schemas.openxmlformats.org/officeDocument/2006/relationships" name="Profiles" sheetId="7" r:id="R47fc977f1d0a4c14"/>
    <x:sheet xmlns:r="http://schemas.openxmlformats.org/officeDocument/2006/relationships" name="Job Kits" sheetId="8" r:id="Rac31256a43d541b6"/>
    <x:sheet xmlns:r="http://schemas.openxmlformats.org/officeDocument/2006/relationships" name="Build Tracker" sheetId="9" r:id="Rf2a8d77c5dcb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AF3F7"/>
      </x:patternFill>
    </x:fill>
    <x:fill>
      <x:patternFill patternType="solid">
        <x:fgColor rgb="FF2E728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B7CAD4"/>
      </x:left>
      <x:top style="thin">
        <x:color rgb="FFB7CAD4"/>
      </x:top>
    </x:border>
    <x:border>
      <x:right style="thin">
        <x:color rgb="FFB7CAD4"/>
      </x:right>
      <x:top style="thin">
        <x:color rgb="FFB7CAD4"/>
      </x:top>
    </x:border>
    <x:border>
      <x:left style="thin">
        <x:color rgb="FFB7CAD4"/>
      </x:left>
      <x:bottom style="thin">
        <x:color rgb="FFB7CAD4"/>
      </x:bottom>
    </x:border>
    <x:border>
      <x:right style="thin">
        <x:color rgb="FFB7CAD4"/>
      </x:right>
      <x:bottom style="thin">
        <x:color rgb="FFB7CAD4"/>
      </x:bottom>
    </x:border>
    <x:border>
      <x:top style="thin">
        <x:color rgb="FFB7CAD4"/>
      </x:top>
    </x:border>
    <x:border>
      <x:bottom style="thin">
        <x:color rgb="FFB7CAD4"/>
      </x:bottom>
    </x:border>
    <x:border>
      <x:left style="thin">
        <x:color rgb="FFB7CAD4"/>
      </x:left>
      <x:top style="thin">
        <x:color rgb="FFB7CAD4"/>
      </x:top>
      <x:bottom style="thin">
        <x:color rgb="FFB7CAD4"/>
      </x:bottom>
    </x:border>
    <x:border>
      <x:top style="thin">
        <x:color rgb="FFB7CAD4"/>
      </x:top>
      <x:bottom style="thin">
        <x:color rgb="FFB7CAD4"/>
      </x:bottom>
    </x:border>
    <x:border>
      <x:right style="thin">
        <x:color rgb="FFB7CAD4"/>
      </x:right>
      <x:top style="thin">
        <x:color rgb="FFB7CAD4"/>
      </x:top>
      <x:bottom style="thin">
        <x:color rgb="FFB7CAD4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0" fontId="2" fillId="5" borderId="4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/>
    </x:xf>
    <x:xf numFmtId="0" fontId="2" fillId="6" borderId="3" xfId="0" applyNumberFormat="1" applyFont="1" applyFill="1" applyBorder="1" applyAlignment="1">
      <x:alignment horizontal="center"/>
    </x:xf>
    <x:xf numFmtId="0" fontId="2" fillId="6" borderId="4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0" fontId="2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4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2" xfId="0" applyNumberFormat="1" applyFont="1" applyFill="1" applyBorder="1" applyAlignment="1">
      <x:alignment horizontal="center"/>
    </x:xf>
    <x:xf numFmtId="0" fontId="2" fillId="7" borderId="3" xfId="0" applyNumberFormat="1" applyFont="1" applyFill="1" applyBorder="1" applyAlignment="1">
      <x:alignment horizontal="center"/>
    </x:xf>
    <x:xf numFmtId="0" fontId="2" fillId="7" borderId="4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2" fillId="7" borderId="2" xfId="0" applyNumberFormat="1" applyFont="1" applyFill="1" applyBorder="1" applyAlignment="1">
      <x:alignment horizontal="center" vertical="center"/>
    </x:xf>
    <x:xf numFmtId="0" fontId="2" fillId="7" borderId="3" xfId="0" applyNumberFormat="1" applyFont="1" applyFill="1" applyBorder="1" applyAlignment="1">
      <x:alignment horizontal="center" vertical="center"/>
    </x:xf>
    <x:xf numFmtId="0" fontId="2" fillId="7" borderId="4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5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6" xfId="0" applyNumberFormat="1" applyFont="1" applyFill="1" applyBorder="1"/>
    <x:xf numFmtId="0" fontId="3" fillId="6" borderId="4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6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42"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627880f8e42a5" /><Relationship Type="http://schemas.openxmlformats.org/officeDocument/2006/relationships/theme" Target="/xl/theme/theme1.xml" Id="R95942b235dc84f52" /><Relationship Type="http://schemas.openxmlformats.org/officeDocument/2006/relationships/sharedStrings" Target="/xl/sharedStrings.xml" Id="Rb5ae9ac4c31d40fa" /><Relationship Type="http://schemas.openxmlformats.org/officeDocument/2006/relationships/worksheet" Target="/xl/worksheets/sheet1.xml" Id="R53b8f980d311477b" /><Relationship Type="http://schemas.openxmlformats.org/officeDocument/2006/relationships/worksheet" Target="/xl/worksheets/sheet2.xml" Id="R0462dff2e2934358" /><Relationship Type="http://schemas.openxmlformats.org/officeDocument/2006/relationships/worksheet" Target="/xl/worksheets/sheet3.xml" Id="R4f8185165a8942ba" /><Relationship Type="http://schemas.openxmlformats.org/officeDocument/2006/relationships/worksheet" Target="/xl/worksheets/sheet4.xml" Id="R0dee58d89dab4fd6" /><Relationship Type="http://schemas.openxmlformats.org/officeDocument/2006/relationships/worksheet" Target="/xl/worksheets/sheet5.xml" Id="R9b5a8df08e264ead" /><Relationship Type="http://schemas.openxmlformats.org/officeDocument/2006/relationships/worksheet" Target="/xl/worksheets/sheet6.xml" Id="R3af82f1fe5884ac5" /><Relationship Type="http://schemas.openxmlformats.org/officeDocument/2006/relationships/worksheet" Target="/xl/worksheets/sheet7.xml" Id="R47fc977f1d0a4c14" /><Relationship Type="http://schemas.openxmlformats.org/officeDocument/2006/relationships/worksheet" Target="/xl/worksheets/sheet8.xml" Id="Rac31256a43d541b6" /><Relationship Type="http://schemas.openxmlformats.org/officeDocument/2006/relationships/worksheet" Target="/xl/worksheets/sheet9.xml" Id="Rf2a8d77c5dcb4e14" /></Relationships>
</file>

<file path=xl/tables/table1.xml><?xml version="1.0" encoding="utf-8"?>
<x:table xmlns:x="http://schemas.openxmlformats.org/spreadsheetml/2006/main" id="1" name="RoutesTable" displayName="RoutesTable" ref="A3:D6" headerRowCount="1" totalsRowCount="0" totalsRowShown="0">
  <x:autoFilter ref="A3:D6"/>
  <x:tableColumns count="4">
    <x:tableColumn id="1" name="Route ID"/>
    <x:tableColumn id="2" name="Selected"/>
    <x:tableColumn id="3" name="What it enables"/>
    <x:tableColumn id="4" name="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tibilityGatesTable" displayName="CompatibilityGatesTable" ref="A3:I70" headerRowCount="1" totalsRowCount="0" totalsRowShown="0">
  <x:autoFilter ref="A3:I70"/>
  <x:tableColumns count="9">
    <x:tableColumn id="1" name="Gate ID"/>
    <x:tableColumn id="2" name="Category"/>
    <x:tableColumn id="3" name="Status"/>
    <x:tableColumn id="4" name="Process profile"/>
    <x:tableColumn id="5" name="Material"/>
    <x:tableColumn id="6" name="Nozzle mm"/>
    <x:tableColumn id="7" name="Recorded values"/>
    <x:tableColumn id="8" name="Nominal values"/>
    <x:tableColumn id="9" name="Required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bGateMapTable" displayName="JobGateMapTable" ref="A3:F155" headerRowCount="1" totalsRowCount="0" totalsRowShown="0">
  <x:autoFilter ref="A3:F155"/>
  <x:tableColumns count="6">
    <x:tableColumn id="1" name="Job"/>
    <x:tableColumn id="2" name="Plate"/>
    <x:tableColumn id="3" name="Gate ID"/>
    <x:tableColumn id="4" name="Current status"/>
    <x:tableColumn id="5" name="Category"/>
    <x:tableColumn id="6" name="Gate profi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ntQueueTable" displayName="PrintQueueTable" ref="A3:O27" headerRowCount="1" totalsRowCount="0" totalsRowShown="0">
  <x:autoFilter ref="A3:O27"/>
  <x:tableColumns count="15">
    <x:tableColumn id="1" name="Job"/>
    <x:tableColumn id="2" name="Stage"/>
    <x:tableColumn id="3" name="Selection"/>
    <x:tableColumn id="4" name="Selected?"/>
    <x:tableColumn id="5" name="Status"/>
    <x:tableColumn id="6" name="Profile"/>
    <x:tableColumn id="7" name="Material"/>
    <x:tableColumn id="8" name="Layer mm"/>
    <x:tableColumn id="9" name="Plate"/>
    <x:tableColumn id="10" name="Objects"/>
    <x:tableColumn id="11" name="Missing gates"/>
    <x:tableColumn id="12" name="Missing gate IDs"/>
    <x:tableColumn id="13" name="Purpose"/>
    <x:tableColumn id="14" name="Lifecycle"/>
    <x:tableColumn id="15" name="K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tMapTable" displayName="PartMapTable" ref="A3:L47" headerRowCount="1" totalsRowCount="0" totalsRowShown="0">
  <x:autoFilter ref="A3:L47"/>
  <x:tableColumns count="12">
    <x:tableColumn id="1" name="Part file"/>
    <x:tableColumn id="2" name="Qty"/>
    <x:tableColumn id="3" name="Job"/>
    <x:tableColumn id="4" name="Stage"/>
    <x:tableColumn id="5" name="Selection"/>
    <x:tableColumn id="6" name="Profile"/>
    <x:tableColumn id="7" name="Material"/>
    <x:tableColumn id="8" name="Plate"/>
    <x:tableColumn id="9" name="Envelope mm"/>
    <x:tableColumn id="10" name="Volume cm3"/>
    <x:tableColumn id="11" name="Mesh QA"/>
    <x:tableColumn id="12" name="Purpo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filesTable" displayName="ProfilesTable" ref="A3:M12" headerRowCount="1" totalsRowCount="0" totalsRowShown="0">
  <x:autoFilter ref="A3:M12"/>
  <x:tableColumns count="13">
    <x:tableColumn id="1" name="Profile"/>
    <x:tableColumn id="2" name="Material"/>
    <x:tableColumn id="3" name="Nozzle"/>
    <x:tableColumn id="4" name="Layer"/>
    <x:tableColumn id="5" name="Walls"/>
    <x:tableColumn id="6" name="Top"/>
    <x:tableColumn id="7" name="Bottom"/>
    <x:tableColumn id="8" name="Infill"/>
    <x:tableColumn id="9" name="Pattern"/>
    <x:tableColumn id="10" name="Supports"/>
    <x:tableColumn id="11" name="Purpose"/>
    <x:tableColumn id="12" name="Bed adhesion"/>
    <x:tableColumn id="13" name="Dimensional control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JobKitsTable" displayName="JobKitsTable" ref="A3:J27" headerRowCount="1" totalsRowCount="0" totalsRowShown="0">
  <x:autoFilter ref="A3:J27"/>
  <x:tableColumns count="10">
    <x:tableColumn id="1" name="Job"/>
    <x:tableColumn id="2" name="Kit"/>
    <x:tableColumn id="3" name="Module"/>
    <x:tableColumn id="4" name="Route"/>
    <x:tableColumn id="5" name="Printed contents"/>
    <x:tableColumn id="6" name="Hardware / consumables"/>
    <x:tableColumn id="7" name="Acceptance signoff"/>
    <x:tableColumn id="8" name="Kit status"/>
    <x:tableColumn id="9" name="QA status"/>
    <x:tableColumn id="10" name="Storage labe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uildTrackerTable" displayName="BuildTrackerTable" ref="A3:I27" headerRowCount="1" totalsRowCount="0" totalsRowShown="0">
  <x:autoFilter ref="A3:I27"/>
  <x:tableColumns count="9">
    <x:tableColumn id="1" name="Job"/>
    <x:tableColumn id="2" name="Selected"/>
    <x:tableColumn id="3" name="Stage"/>
    <x:tableColumn id="4" name="Kit"/>
    <x:tableColumn id="5" name="Recorded state"/>
    <x:tableColumn id="6" name="Effective state"/>
    <x:tableColumn id="7" name="Missing prerequisites"/>
    <x:tableColumn id="8" name="Post-print gates"/>
    <x:tableColumn id="9" name="Assembly ga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065295c79542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aee74c6d2a45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5f66a351ed44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4e3089f0494f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b4fc6bb7f240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e6556c327348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71ac7abd9740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4751cb41f247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2" t="str">
        <x:v>QIDI Plus4 Print Compatibility Workbook</x:v>
      </x:c>
      <x:c r="B1" s="2"/>
      <x:c r="C1" s="2"/>
      <x:c r="D1" s="2"/>
      <x:c r="E1" s="2"/>
      <x:c r="F1" s="2"/>
      <x:c r="G1" s="2"/>
      <x:c r="H1" s="2"/>
    </x:row>
    <x:row r="3">
      <x:c r="A3" s="5" t="str">
        <x:v>Controlled release RC02-PRO-R1 | 37 printable STLs | 24 jobs | 52 placed objects | protected 295 x 295 x 280 mm Plus4 envelope</x:v>
      </x:c>
      <x:c r="B3" s="5"/>
      <x:c r="C3" s="5"/>
      <x:c r="D3" s="5"/>
      <x:c r="E3" s="5"/>
      <x:c r="F3" s="5"/>
      <x:c r="G3" s="5"/>
      <x:c r="H3" s="5"/>
    </x:row>
    <x:row r="5">
      <x:c r="A5" s="9" t="str">
        <x:v>READY</x:v>
      </x:c>
      <x:c r="B5" s="9"/>
      <x:c r="C5" s="9" t="str">
        <x:v>WAITING</x:v>
      </x:c>
      <x:c r="D5" s="9"/>
      <x:c r="E5" s="9" t="str">
        <x:v>NOT SELECTED</x:v>
      </x:c>
      <x:c r="F5" s="9"/>
      <x:c r="G5" s="9" t="str">
        <x:v>TOTAL JOBS</x:v>
      </x:c>
      <x:c r="H5" s="9"/>
    </x:row>
    <x:row r="6">
      <x:c r="A6" s="20" t="n">
        <x:f>COUNTIF('Print Queue'!$E$4:$E$27,"READY")</x:f>
        <x:v>0</x:v>
      </x:c>
      <x:c r="B6" s="21"/>
      <x:c r="C6" s="34" t="n">
        <x:f>COUNTIF('Print Queue'!$E$4:$E$27,"WAITING")</x:f>
        <x:v>16</x:v>
      </x:c>
      <x:c r="D6" s="35"/>
      <x:c r="E6" s="48" t="n">
        <x:f>COUNTIF('Print Queue'!$E$4:$E$27,"NOT_SELECTED")</x:f>
        <x:v>8</x:v>
      </x:c>
      <x:c r="F6" s="49"/>
      <x:c r="G6" s="60" t="n">
        <x:f>COUNTA('Print Queue'!$A$4:$A$27)</x:f>
        <x:v>24</x:v>
      </x:c>
      <x:c r="H6" s="61"/>
    </x:row>
    <x:row r="7">
      <x:c r="A7" s="22"/>
      <x:c r="B7" s="23"/>
      <x:c r="C7" s="36"/>
      <x:c r="D7" s="37"/>
      <x:c r="E7" s="50"/>
      <x:c r="F7" s="51"/>
      <x:c r="G7" s="62"/>
      <x:c r="H7" s="63"/>
    </x:row>
    <x:row r="9">
      <x:c r="A9" s="7" t="str">
        <x:v>Measured workflow</x:v>
      </x:c>
      <x:c r="B9" s="7"/>
      <x:c r="C9" s="7"/>
      <x:c r="D9" s="7"/>
      <x:c r="E9" s="7"/>
      <x:c r="F9" s="7"/>
      <x:c r="G9" s="7"/>
      <x:c r="H9" s="7"/>
    </x:row>
    <x:row r="10" ht="28" customHeight="1">
      <x:c r="A10" s="64" t="str">
        <x:v>1. Confirm the installed 0.4 mm nozzle and calibrate every exact filament/profile combination.</x:v>
      </x:c>
      <x:c r="B10" s="64"/>
      <x:c r="C10" s="64"/>
      <x:c r="D10" s="64"/>
      <x:c r="E10" s="64"/>
      <x:c r="F10" s="64"/>
      <x:c r="G10" s="64"/>
      <x:c r="H10" s="64"/>
    </x:row>
    <x:row r="11" ht="28" customHeight="1">
      <x:c r="A11" s="66" t="str">
        <x:v>2. Print diagnostic jobs 00A-00F. Keep each accepted coupon labeled by job, profile, spool lot, and date.</x:v>
      </x:c>
      <x:c r="B11" s="66"/>
      <x:c r="C11" s="66"/>
      <x:c r="D11" s="66"/>
      <x:c r="E11" s="66"/>
      <x:c r="F11" s="66"/>
      <x:c r="G11" s="66"/>
      <x:c r="H11" s="66"/>
    </x:row>
    <x:row r="12" ht="28" customHeight="1">
      <x:c r="A12" s="64" t="str">
        <x:v>3. Measure the keyboard, phone/case and keepouts, cable, RoArm gripper, spring, fasteners, inserts, tag stock, camera hardware, stylus/rod, and optional extrusion.</x:v>
      </x:c>
      <x:c r="B12" s="64"/>
      <x:c r="C12" s="64"/>
      <x:c r="D12" s="64"/>
      <x:c r="E12" s="64"/>
      <x:c r="F12" s="64"/>
      <x:c r="G12" s="64"/>
      <x:c r="H12" s="64"/>
    </x:row>
    <x:row r="13" ht="28" customHeight="1">
      <x:c r="A13" s="66" t="str">
        <x:v>4. Record evidence with scripts/record_print_measurement.py; if a non-nominal fit wins, update parameters, regenerate, and revalidate.</x:v>
      </x:c>
      <x:c r="B13" s="66"/>
      <x:c r="C13" s="66"/>
      <x:c r="D13" s="66"/>
      <x:c r="E13" s="66"/>
      <x:c r="F13" s="66"/>
      <x:c r="G13" s="66"/>
      <x:c r="H13" s="66"/>
    </x:row>
    <x:row r="14" ht="28" customHeight="1">
      <x:c r="A14" s="64" t="str">
        <x:v>5. For each selected production job, save/reopen the native QIDI Studio project at 100% scale and record its job-specific hash and preview evidence.</x:v>
      </x:c>
      <x:c r="B14" s="64"/>
      <x:c r="C14" s="64"/>
      <x:c r="D14" s="64"/>
      <x:c r="E14" s="64"/>
      <x:c r="F14" s="64"/>
      <x:c r="G14" s="64"/>
      <x:c r="H14" s="64"/>
    </x:row>
    <x:row r="15" ht="28" customHeight="1">
      <x:c r="A15" s="66" t="str">
        <x:v>6. Print only jobs shown READY; then use BUILD_TRACKER.md and the matching job card through post-print, kitting, assembly, and service release.</x:v>
      </x:c>
      <x:c r="B15" s="66"/>
      <x:c r="C15" s="66"/>
      <x:c r="D15" s="66"/>
      <x:c r="E15" s="66"/>
      <x:c r="F15" s="66"/>
      <x:c r="G15" s="66"/>
      <x:c r="H15" s="66"/>
    </x:row>
    <x:row r="17">
      <x:c r="A17" s="80" t="str">
        <x:v>Important: this workbook is an operational view. config/measurement_record.json and config/print_jobs.json remain authoritative. Never transfer a fit result between process profiles, never globally scale a production plate, and never bypass a physical gate because digital mesh validation passed.</x:v>
      </x:c>
      <x:c r="B17" s="81"/>
      <x:c r="C17" s="81"/>
      <x:c r="D17" s="81"/>
      <x:c r="E17" s="81"/>
      <x:c r="F17" s="81"/>
      <x:c r="G17" s="81"/>
      <x:c r="H17" s="82"/>
    </x:row>
    <x:row r="18">
      <x:c r="A18" s="83"/>
      <x:c r="B18" s="84"/>
      <x:c r="C18" s="84"/>
      <x:c r="D18" s="84"/>
      <x:c r="E18" s="84"/>
      <x:c r="F18" s="84"/>
      <x:c r="G18" s="84"/>
      <x:c r="H18" s="85"/>
    </x:row>
  </x:sheetData>
  <x:mergeCells>
    <x:mergeCell ref="A1:H1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0:H10"/>
    <x:mergeCell ref="A11:H11"/>
    <x:mergeCell ref="A12:H12"/>
    <x:mergeCell ref="A13:H13"/>
    <x:mergeCell ref="A14:H14"/>
    <x:mergeCell ref="A15:H15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42" hidden="0" customWidth="1"/>
    <x:col min="4" max="4" width="52" hidden="0" customWidth="1"/>
  </x:cols>
  <x:sheetData>
    <x:row r="1" ht="30" customHeight="1">
      <x:c r="A1" s="86" t="str">
        <x:v>Optional Route Selection - planning preview; commit changes with the recording script</x:v>
      </x:c>
      <x:c r="B1" s="86"/>
      <x:c r="C1" s="86"/>
      <x:c r="D1" s="86"/>
    </x:row>
    <x:row r="3" ht="30" customHeight="1">
      <x:c r="A3" s="93" t="str">
        <x:v>Route ID</x:v>
      </x:c>
      <x:c r="B3" s="94" t="str">
        <x:v>Selected</x:v>
      </x:c>
      <x:c r="C3" s="94" t="str">
        <x:v>What it enables</x:v>
      </x:c>
      <x:c r="D3" s="95" t="str">
        <x:v>Decision</x:v>
      </x:c>
    </x:row>
    <x:row r="4" ht="38" customHeight="1">
      <x:c r="A4" s="100" t="str">
        <x:v>phone_stylus_route</x:v>
      </x:c>
      <x:c r="B4" s="102" t="str">
        <x:v>NO</x:v>
      </x:c>
      <x:c r="C4" s="100" t="str">
        <x:v>Shared compliant tool + stylus collar</x:v>
      </x:c>
      <x:c r="D4" s="100" t="str">
        <x:v>Select only after measuring and hand-testing a passive capacitive stylus.</x:v>
      </x:c>
    </x:row>
    <x:row r="5" ht="38" customHeight="1">
      <x:c r="A5" s="101" t="str">
        <x:v>keyboard_rod_route</x:v>
      </x:c>
      <x:c r="B5" s="103" t="str">
        <x:v>NO</x:v>
      </x:c>
      <x:c r="C5" s="101" t="str">
        <x:v>Shared compliant tool + rod bushing + TPU keyboard tips</x:v>
      </x:c>
      <x:c r="D5" s="101" t="str">
        <x:v>Select only after measuring a straight 6 mm rod.</x:v>
      </x:c>
    </x:row>
    <x:row r="6" ht="38" customHeight="1">
      <x:c r="A6" s="101" t="str">
        <x:v>camera_mast_optional</x:v>
      </x:c>
      <x:c r="B6" s="103" t="str">
        <x:v>NO</x:v>
      </x:c>
      <x:c r="C6" s="101" t="str">
        <x:v>ASA mast diagnostics + first article + second foot</x:v>
      </x:c>
      <x:c r="D6" s="101" t="str">
        <x:v>Select only when building the optional camera stand.</x:v>
      </x:c>
    </x:row>
  </x:sheetData>
  <x:mergeCells>
    <x:mergeCell ref="A1:D1"/>
  </x:mergeCells>
  <x:dataValidations count="1">
    <x:dataValidation type="list" sqref="B4:B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065295c79542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2" hidden="0" customWidth="1"/>
    <x:col min="7" max="7" width="48" hidden="0" customWidth="1"/>
    <x:col min="8" max="8" width="34" hidden="0" customWidth="1"/>
    <x:col min="9" max="9" width="66" hidden="0" customWidth="1"/>
  </x:cols>
  <x:sheetData>
    <x:row r="1" ht="30" customHeight="1">
      <x:c r="A1" s="86" t="str">
        <x:v>Compatibility Gates - record evidence in config/measurement_record.json</x:v>
      </x:c>
      <x:c r="B1" s="86"/>
      <x:c r="C1" s="86"/>
      <x:c r="D1" s="86"/>
      <x:c r="E1" s="86"/>
      <x:c r="F1" s="86"/>
      <x:c r="G1" s="86"/>
      <x:c r="H1" s="86"/>
      <x:c r="I1" s="86"/>
    </x:row>
    <x:row r="3" ht="30" customHeight="1">
      <x:c r="A3" s="93" t="str">
        <x:v>Gate ID</x:v>
      </x:c>
      <x:c r="B3" s="94" t="str">
        <x:v>Category</x:v>
      </x:c>
      <x:c r="C3" s="94" t="str">
        <x:v>Status</x:v>
      </x:c>
      <x:c r="D3" s="94" t="str">
        <x:v>Process profile</x:v>
      </x:c>
      <x:c r="E3" s="94" t="str">
        <x:v>Material</x:v>
      </x:c>
      <x:c r="F3" s="94" t="str">
        <x:v>Nozzle mm</x:v>
      </x:c>
      <x:c r="G3" s="94" t="str">
        <x:v>Recorded values</x:v>
      </x:c>
      <x:c r="H3" s="94" t="str">
        <x:v>Nominal values</x:v>
      </x:c>
      <x:c r="I3" s="95" t="str">
        <x:v>Required evidence</x:v>
      </x:c>
    </x:row>
    <x:row r="4" ht="68" customHeight="1">
      <x:c r="A4" s="100" t="str">
        <x:v>plus4_machine_confirmed</x:v>
      </x:c>
      <x:c r="B4" s="100" t="str">
        <x:v>machine</x:v>
      </x:c>
      <x:c r="C4" s="100" t="str">
        <x:v>PASS</x:v>
      </x:c>
      <x:c r="D4" s="100" t="str">
        <x:v>machine_configuration</x:v>
      </x:c>
      <x:c r="E4" s="100" t="str">
        <x:v>not_applicable</x:v>
      </x:c>
      <x:c r="F4" s="104" t="str">
        <x:v>not_applicable</x:v>
      </x:c>
      <x:c r="G4" s="100" t="str">
        <x:v>{"printer_model":"QIDI Plus4","nominal_build_volume_mm":[305,305,280],"safe_plate_envelope_mm":[295,295,280]}</x:v>
      </x:c>
      <x:c r="H4" s="100" t="str">
        <x:v>{}</x:v>
      </x:c>
      <x:c r="I4" s="100" t="str">
        <x:v>Confirm the printer model and conservative 295 x 295 x 280 mm release envelope.</x:v>
      </x:c>
    </x:row>
    <x:row r="5" ht="68" customHeight="1">
      <x:c r="A5" s="101" t="str">
        <x:v>nozzle_0p4_confirmed</x:v>
      </x:c>
      <x:c r="B5" s="101" t="str">
        <x:v>machine</x:v>
      </x:c>
      <x:c r="C5" s="101" t="str">
        <x:v>NOT_TESTED</x:v>
      </x:c>
      <x:c r="D5" s="101" t="str">
        <x:v>machine_configuration</x:v>
      </x:c>
      <x:c r="E5" s="101" t="str">
        <x:v>not_applicable</x:v>
      </x:c>
      <x:c r="F5" s="105" t="n">
        <x:v>0.4</x:v>
      </x:c>
      <x:c r="G5" s="101" t="str">
        <x:v>{"installed_nozzle_mm":null,"verification_method":null}</x:v>
      </x:c>
      <x:c r="H5" s="101" t="str">
        <x:v>{}</x:v>
      </x:c>
      <x:c r="I5" s="101" t="str">
        <x:v>Confirm the installed nozzle is 0.4 mm and record how it was verified.</x:v>
      </x:c>
    </x:row>
    <x:row r="6" ht="68" customHeight="1">
      <x:c r="A6" s="101" t="str">
        <x:v>petg_general_profile_calibrated</x:v>
      </x:c>
      <x:c r="B6" s="101" t="str">
        <x:v>material</x:v>
      </x:c>
      <x:c r="C6" s="101" t="str">
        <x:v>NOT_TESTED</x:v>
      </x:c>
      <x:c r="D6" s="101" t="str">
        <x:v>petg_general_0p4</x:v>
      </x:c>
      <x:c r="E6" s="101" t="str">
        <x:v>PETG</x:v>
      </x:c>
      <x:c r="F6" s="105" t="n">
        <x:v>0.4</x:v>
      </x:c>
      <x:c r="G6" s="101" t="str">
        <x:v>{"brand":null,"filament_name":null,"spool_lot":null,"profile_revision":null,"drying_record":null,"calibration_result":null}</x:v>
      </x:c>
      <x:c r="H6" s="101" t="str">
        <x:v>{}</x:v>
      </x:c>
      <x:c r="I6" s="101" t="str">
        <x:v>Calibrate the exact PETG spool with petg_general_0p4.</x:v>
      </x:c>
    </x:row>
    <x:row r="7" ht="68" customHeight="1">
      <x:c r="A7" s="101" t="str">
        <x:v>petg_tray_profile_calibrated</x:v>
      </x:c>
      <x:c r="B7" s="101" t="str">
        <x:v>material</x:v>
      </x:c>
      <x:c r="C7" s="101" t="str">
        <x:v>NOT_TESTED</x:v>
      </x:c>
      <x:c r="D7" s="101" t="str">
        <x:v>petg_tray_structural_0p4</x:v>
      </x:c>
      <x:c r="E7" s="101" t="str">
        <x:v>PETG</x:v>
      </x:c>
      <x:c r="F7" s="105" t="n">
        <x:v>0.4</x:v>
      </x:c>
      <x:c r="G7" s="101" t="str">
        <x:v>{"brand":null,"filament_name":null,"spool_lot":null,"profile_revision":null,"drying_record":null,"calibration_result":null}</x:v>
      </x:c>
      <x:c r="H7" s="101" t="str">
        <x:v>{}</x:v>
      </x:c>
      <x:c r="I7" s="101" t="str">
        <x:v>Calibrate the exact PETG spool with petg_tray_structural_0p4.</x:v>
      </x:c>
    </x:row>
    <x:row r="8" ht="68" customHeight="1">
      <x:c r="A8" s="101" t="str">
        <x:v>petg_cradle_profile_calibrated</x:v>
      </x:c>
      <x:c r="B8" s="101" t="str">
        <x:v>material</x:v>
      </x:c>
      <x:c r="C8" s="101" t="str">
        <x:v>NOT_TESTED</x:v>
      </x:c>
      <x:c r="D8" s="101" t="str">
        <x:v>petg_cradle_0p4</x:v>
      </x:c>
      <x:c r="E8" s="101" t="str">
        <x:v>PETG</x:v>
      </x:c>
      <x:c r="F8" s="105" t="n">
        <x:v>0.4</x:v>
      </x:c>
      <x:c r="G8" s="101" t="str">
        <x:v>{"brand":null,"filament_name":null,"spool_lot":null,"profile_revision":null,"drying_record":null,"calibration_result":null}</x:v>
      </x:c>
      <x:c r="H8" s="101" t="str">
        <x:v>{}</x:v>
      </x:c>
      <x:c r="I8" s="101" t="str">
        <x:v>Calibrate the exact PETG spool with petg_cradle_0p4.</x:v>
      </x:c>
    </x:row>
    <x:row r="9" ht="68" customHeight="1">
      <x:c r="A9" s="101" t="str">
        <x:v>petg_precision_profile_calibrated</x:v>
      </x:c>
      <x:c r="B9" s="101" t="str">
        <x:v>material</x:v>
      </x:c>
      <x:c r="C9" s="101" t="str">
        <x:v>NOT_TESTED</x:v>
      </x:c>
      <x:c r="D9" s="101" t="str">
        <x:v>petg_precision_0p4</x:v>
      </x:c>
      <x:c r="E9" s="101" t="str">
        <x:v>PETG</x:v>
      </x:c>
      <x:c r="F9" s="105" t="n">
        <x:v>0.4</x:v>
      </x:c>
      <x:c r="G9" s="101" t="str">
        <x:v>{"brand":null,"filament_name":null,"spool_lot":null,"profile_revision":null,"drying_record":null,"calibration_result":null}</x:v>
      </x:c>
      <x:c r="H9" s="101" t="str">
        <x:v>{}</x:v>
      </x:c>
      <x:c r="I9" s="101" t="str">
        <x:v>Calibrate the exact PETG spool with petg_precision_0p4.</x:v>
      </x:c>
    </x:row>
    <x:row r="10" ht="68" customHeight="1">
      <x:c r="A10" s="101" t="str">
        <x:v>petg_adapter_profile_calibrated</x:v>
      </x:c>
      <x:c r="B10" s="101" t="str">
        <x:v>material</x:v>
      </x:c>
      <x:c r="C10" s="101" t="str">
        <x:v>NOT_TESTED</x:v>
      </x:c>
      <x:c r="D10" s="101" t="str">
        <x:v>petg_adapter_0p4</x:v>
      </x:c>
      <x:c r="E10" s="101" t="str">
        <x:v>PETG</x:v>
      </x:c>
      <x:c r="F10" s="105" t="n">
        <x:v>0.4</x:v>
      </x:c>
      <x:c r="G10" s="101" t="str">
        <x:v>{"brand":null,"filament_name":null,"spool_lot":null,"profile_revision":null,"drying_record":null,"calibration_result":null}</x:v>
      </x:c>
      <x:c r="H10" s="101" t="str">
        <x:v>{}</x:v>
      </x:c>
      <x:c r="I10" s="101" t="str">
        <x:v>Calibrate the exact PETG spool with petg_adapter_0p4.</x:v>
      </x:c>
    </x:row>
    <x:row r="11" ht="68" customHeight="1">
      <x:c r="A11" s="101" t="str">
        <x:v>petg_calibration_profile_calibrated</x:v>
      </x:c>
      <x:c r="B11" s="101" t="str">
        <x:v>material</x:v>
      </x:c>
      <x:c r="C11" s="101" t="str">
        <x:v>NOT_TESTED</x:v>
      </x:c>
      <x:c r="D11" s="101" t="str">
        <x:v>petg_calibration_0p4</x:v>
      </x:c>
      <x:c r="E11" s="101" t="str">
        <x:v>PETG</x:v>
      </x:c>
      <x:c r="F11" s="105" t="n">
        <x:v>0.4</x:v>
      </x:c>
      <x:c r="G11" s="101" t="str">
        <x:v>{"brand":null,"filament_name":null,"spool_lot":null,"profile_revision":null,"drying_record":null,"calibration_result":null}</x:v>
      </x:c>
      <x:c r="H11" s="101" t="str">
        <x:v>{}</x:v>
      </x:c>
      <x:c r="I11" s="101" t="str">
        <x:v>Calibrate the exact PETG spool with petg_calibration_0p4.</x:v>
      </x:c>
    </x:row>
    <x:row r="12" ht="68" customHeight="1">
      <x:c r="A12" s="101" t="str">
        <x:v>tpu_profile_calibrated</x:v>
      </x:c>
      <x:c r="B12" s="101" t="str">
        <x:v>material</x:v>
      </x:c>
      <x:c r="C12" s="101" t="str">
        <x:v>NOT_TESTED</x:v>
      </x:c>
      <x:c r="D12" s="101" t="str">
        <x:v>tpu95a_0p4</x:v>
      </x:c>
      <x:c r="E12" s="101" t="str">
        <x:v>TPU 95A</x:v>
      </x:c>
      <x:c r="F12" s="105" t="n">
        <x:v>0.4</x:v>
      </x:c>
      <x:c r="G12" s="101" t="str">
        <x:v>{"brand":null,"filament_name":null,"spool_lot":null,"profile_revision":null,"drying_record":null,"calibration_result":null,"shore_hardness":"95A"}</x:v>
      </x:c>
      <x:c r="H12" s="101" t="str">
        <x:v>{}</x:v>
      </x:c>
      <x:c r="I12" s="101" t="str">
        <x:v>Calibrate the exact dry TPU spool with tpu95a_0p4.</x:v>
      </x:c>
    </x:row>
    <x:row r="13" ht="68" customHeight="1">
      <x:c r="A13" s="101" t="str">
        <x:v>asa_profile_calibrated</x:v>
      </x:c>
      <x:c r="B13" s="101" t="str">
        <x:v>material</x:v>
      </x:c>
      <x:c r="C13" s="101" t="str">
        <x:v>NOT_TESTED</x:v>
      </x:c>
      <x:c r="D13" s="101" t="str">
        <x:v>asa_structural_0p4</x:v>
      </x:c>
      <x:c r="E13" s="101" t="str">
        <x:v>ASA</x:v>
      </x:c>
      <x:c r="F13" s="105" t="n">
        <x:v>0.4</x:v>
      </x:c>
      <x:c r="G13" s="101" t="str">
        <x:v>{"brand":null,"filament_name":null,"spool_lot":null,"profile_revision":null,"drying_record":null,"calibration_result":null,"chamber_condition":null}</x:v>
      </x:c>
      <x:c r="H13" s="101" t="str">
        <x:v>{}</x:v>
      </x:c>
      <x:c r="I13" s="101" t="str">
        <x:v>Calibrate the exact ASA spool with the intended chamber conditions.</x:v>
      </x:c>
    </x:row>
    <x:row r="14" ht="68" customHeight="1">
      <x:c r="A14" s="101" t="str">
        <x:v>keyboard_dimensions_measured</x:v>
      </x:c>
      <x:c r="B14" s="101" t="str">
        <x:v>measurement</x:v>
      </x:c>
      <x:c r="C14" s="101" t="str">
        <x:v>NOT_TESTED</x:v>
      </x:c>
      <x:c r="D14" s="101" t="str">
        <x:v>geometry_input</x:v>
      </x:c>
      <x:c r="E14" s="101" t="str">
        <x:v>device</x:v>
      </x:c>
      <x:c r="F14" s="105" t="str">
        <x:v>not_applicable</x:v>
      </x:c>
      <x:c r="G14" s="101" t="str">
        <x:v>{"device_model":null,"width_mm":null,"depth_mm":null,"height_mm":null,"cable_keepout_mm":null}</x:v>
      </x:c>
      <x:c r="H14" s="101" t="str">
        <x:v>{"width_mm":315,"depth_mm":147,"height_mm":21}</x:v>
      </x:c>
      <x:c r="I14" s="101" t="str">
        <x:v>Measure the keyboard at its widest and tallest points, including its cable keepout.</x:v>
      </x:c>
    </x:row>
    <x:row r="15" ht="68" customHeight="1">
      <x:c r="A15" s="101" t="str">
        <x:v>phone_dimensions_measured</x:v>
      </x:c>
      <x:c r="B15" s="101" t="str">
        <x:v>measurement</x:v>
      </x:c>
      <x:c r="C15" s="101" t="str">
        <x:v>NOT_TESTED</x:v>
      </x:c>
      <x:c r="D15" s="101" t="str">
        <x:v>geometry_input</x:v>
      </x:c>
      <x:c r="E15" s="101" t="str">
        <x:v>device</x:v>
      </x:c>
      <x:c r="F15" s="105" t="str">
        <x:v>not_applicable</x:v>
      </x:c>
      <x:c r="G15" s="101" t="str">
        <x:v>{"device_model":null,"width_mm":null,"length_mm":null,"thickness_mm":null,"case_installed":null,"camera_bump_envelope_mm":null}</x:v>
      </x:c>
      <x:c r="H15" s="101" t="str">
        <x:v>{"width_mm":77.9,"length_mm":164.4,"thickness_mm":7.9}</x:v>
      </x:c>
      <x:c r="I15" s="101" t="str">
        <x:v>Measure the phone in the exact case state, including the camera-bump envelope.</x:v>
      </x:c>
    </x:row>
    <x:row r="16" ht="68" customHeight="1">
      <x:c r="A16" s="101" t="str">
        <x:v>phone_side_features_measured</x:v>
      </x:c>
      <x:c r="B16" s="101" t="str">
        <x:v>measurement</x:v>
      </x:c>
      <x:c r="C16" s="101" t="str">
        <x:v>NOT_TESTED</x:v>
      </x:c>
      <x:c r="D16" s="101" t="str">
        <x:v>geometry_input</x:v>
      </x:c>
      <x:c r="E16" s="101" t="str">
        <x:v>device</x:v>
      </x:c>
      <x:c r="F16" s="105" t="str">
        <x:v>not_applicable</x:v>
      </x:c>
      <x:c r="G16" s="101" t="str">
        <x:v>{"right_side_keepouts_from_bottom_mm":null,"selected_clamp_centers_from_bottom_mm":null,"minimum_keepout_margin_mm":null}</x:v>
      </x:c>
      <x:c r="H16" s="101" t="str">
        <x:v>{}</x:v>
      </x:c>
      <x:c r="I16" s="101" t="str">
        <x:v>Record every right-side feature interval and prove both clamp centers clear them.</x:v>
      </x:c>
    </x:row>
    <x:row r="17" ht="68" customHeight="1">
      <x:c r="A17" s="101" t="str">
        <x:v>phone_cable_measured</x:v>
      </x:c>
      <x:c r="B17" s="101" t="str">
        <x:v>measurement</x:v>
      </x:c>
      <x:c r="C17" s="101" t="str">
        <x:v>NOT_TESTED</x:v>
      </x:c>
      <x:c r="D17" s="101" t="str">
        <x:v>geometry_input</x:v>
      </x:c>
      <x:c r="E17" s="101" t="str">
        <x:v>device</x:v>
      </x:c>
      <x:c r="F17" s="105" t="str">
        <x:v>not_applicable</x:v>
      </x:c>
      <x:c r="G17" s="101" t="str">
        <x:v>{"connector_width_mm":null,"connector_thickness_mm":null,"straight_projection_mm":null,"minimum_bend_radius_mm":null,"selected_tie_width_mm":null}</x:v>
      </x:c>
      <x:c r="H17" s="101" t="str">
        <x:v>{}</x:v>
      </x:c>
      <x:c r="I17" s="101" t="str">
        <x:v>Measure the installed USB-C connector, bend envelope, and selected strain-relief tie.</x:v>
      </x:c>
    </x:row>
    <x:row r="18" ht="68" customHeight="1">
      <x:c r="A18" s="101" t="str">
        <x:v>gripper_interface_measured</x:v>
      </x:c>
      <x:c r="B18" s="101" t="str">
        <x:v>measurement</x:v>
      </x:c>
      <x:c r="C18" s="101" t="str">
        <x:v>NOT_TESTED</x:v>
      </x:c>
      <x:c r="D18" s="101" t="str">
        <x:v>petg_precision_0p4</x:v>
      </x:c>
      <x:c r="E18" s="101" t="str">
        <x:v>device</x:v>
      </x:c>
      <x:c r="F18" s="105" t="n">
        <x:v>0.4</x:v>
      </x:c>
      <x:c r="G18" s="101" t="str">
        <x:v>{"jaw_opening_mm":null,"jaw_pad_width_mm":null,"jaw_pad_height_mm":null,"selected_grip_setting":null}</x:v>
      </x:c>
      <x:c r="H18" s="101" t="str">
        <x:v>{}</x:v>
      </x:c>
      <x:c r="I18" s="101" t="str">
        <x:v>Measure the RoArm gripper and record the intended low-force gripping setting.</x:v>
      </x:c>
    </x:row>
    <x:row r="19" ht="68" customHeight="1">
      <x:c r="A19" s="101" t="str">
        <x:v>spring_dimensions_measured</x:v>
      </x:c>
      <x:c r="B19" s="101" t="str">
        <x:v>measurement</x:v>
      </x:c>
      <x:c r="C19" s="101" t="str">
        <x:v>NOT_TESTED</x:v>
      </x:c>
      <x:c r="D19" s="101" t="str">
        <x:v>petg_precision_0p4</x:v>
      </x:c>
      <x:c r="E19" s="101" t="str">
        <x:v>hardware</x:v>
      </x:c>
      <x:c r="F19" s="105" t="n">
        <x:v>0.4</x:v>
      </x:c>
      <x:c r="G19" s="101" t="str">
        <x:v>{"od_mm":null,"id_mm":null,"free_length_mm":null,"approx_rate_n_per_mm":null,"coil_bind_length_mm":null}</x:v>
      </x:c>
      <x:c r="H19" s="101" t="str">
        <x:v>{"max_od_mm":13.5,"min_id_mm":10.5,"free_length_range_mm":"18-22"}</x:v>
      </x:c>
      <x:c r="I19" s="101" t="str">
        <x:v>Measure spring OD, ID, free length, approximate rate, and coil-bind length.</x:v>
      </x:c>
    </x:row>
    <x:row r="20" ht="68" customHeight="1">
      <x:c r="A20" s="101" t="str">
        <x:v>stylus_diameter_measured</x:v>
      </x:c>
      <x:c r="B20" s="101" t="str">
        <x:v>measurement</x:v>
      </x:c>
      <x:c r="C20" s="101" t="str">
        <x:v>NOT_TESTED</x:v>
      </x:c>
      <x:c r="D20" s="101" t="str">
        <x:v>petg_adapter_0p4</x:v>
      </x:c>
      <x:c r="E20" s="101" t="str">
        <x:v>device</x:v>
      </x:c>
      <x:c r="F20" s="105" t="n">
        <x:v>0.4</x:v>
      </x:c>
      <x:c r="G20" s="101" t="str">
        <x:v>{"stylus_model":null,"diameter_mm":null,"measurement_locations":null}</x:v>
      </x:c>
      <x:c r="H20" s="101" t="str">
        <x:v>{"diameter_mm":9}</x:v>
      </x:c>
      <x:c r="I20" s="101" t="str">
        <x:v>Measure the capacitive stylus barrel at several locations.</x:v>
      </x:c>
    </x:row>
    <x:row r="21" ht="68" customHeight="1">
      <x:c r="A21" s="101" t="str">
        <x:v>keyboard_rod_measured</x:v>
      </x:c>
      <x:c r="B21" s="101" t="str">
        <x:v>measurement</x:v>
      </x:c>
      <x:c r="C21" s="101" t="str">
        <x:v>NOT_TESTED</x:v>
      </x:c>
      <x:c r="D21" s="101" t="str">
        <x:v>petg_adapter_0p4</x:v>
      </x:c>
      <x:c r="E21" s="101" t="str">
        <x:v>hardware</x:v>
      </x:c>
      <x:c r="F21" s="105" t="n">
        <x:v>0.4</x:v>
      </x:c>
      <x:c r="G21" s="101" t="str">
        <x:v>{"material":null,"diameter_mm":null,"length_mm":null,"measurement_locations":null}</x:v>
      </x:c>
      <x:c r="H21" s="101" t="str">
        <x:v>{"diameter_mm":6,"length_range_mm":"90-110"}</x:v>
      </x:c>
      <x:c r="I21" s="101" t="str">
        <x:v>Measure the rod diameter at several points and record its finished length.</x:v>
      </x:c>
    </x:row>
    <x:row r="22" ht="68" customHeight="1">
      <x:c r="A22" s="101" t="str">
        <x:v>tag_stock_measured</x:v>
      </x:c>
      <x:c r="B22" s="101" t="str">
        <x:v>measurement</x:v>
      </x:c>
      <x:c r="C22" s="101" t="str">
        <x:v>NOT_TESTED</x:v>
      </x:c>
      <x:c r="D22" s="101" t="str">
        <x:v>geometry_input</x:v>
      </x:c>
      <x:c r="E22" s="101" t="str">
        <x:v>paper</x:v>
      </x:c>
      <x:c r="F22" s="105" t="str">
        <x:v>not_applicable</x:v>
      </x:c>
      <x:c r="G22" s="101" t="str">
        <x:v>{"stock_type":null,"tile_width_mm":null,"tile_height_mm":null,"stock_thickness_mm":null}</x:v>
      </x:c>
      <x:c r="H22" s="101" t="str">
        <x:v>{}</x:v>
      </x:c>
      <x:c r="I22" s="101" t="str">
        <x:v>Measure the cut tag stock and confirm it is flat, matte, and compatible with the recess.</x:v>
      </x:c>
    </x:row>
    <x:row r="23" ht="68" customHeight="1">
      <x:c r="A23" s="101" t="str">
        <x:v>camera_mount_interface_measured</x:v>
      </x:c>
      <x:c r="B23" s="101" t="str">
        <x:v>measurement</x:v>
      </x:c>
      <x:c r="C23" s="101" t="str">
        <x:v>NOT_TESTED</x:v>
      </x:c>
      <x:c r="D23" s="101" t="str">
        <x:v>petg_general_0p4</x:v>
      </x:c>
      <x:c r="E23" s="101" t="str">
        <x:v>hardware</x:v>
      </x:c>
      <x:c r="F23" s="105" t="n">
        <x:v>0.4</x:v>
      </x:c>
      <x:c r="G23" s="101" t="str">
        <x:v>{"camera_model":null,"camera_thread":null,"safe_thread_engagement_mm":null,"selected_camera_screw_length_mm":null,"selected_tslot_screw_length_mm":null,"strap_width_mm":null}</x:v>
      </x:c>
      <x:c r="H23" s="101" t="str">
        <x:v>{}</x:v>
      </x:c>
      <x:c r="I23" s="101" t="str">
        <x:v>Measure the camera thread, screw engagement, crossbar fasteners, and selected strap.</x:v>
      </x:c>
    </x:row>
    <x:row r="24" ht="68" customHeight="1">
      <x:c r="A24" s="101" t="str">
        <x:v>geometry_matches_measurements</x:v>
      </x:c>
      <x:c r="B24" s="101" t="str">
        <x:v>release</x:v>
      </x:c>
      <x:c r="C24" s="101" t="str">
        <x:v>NOT_TESTED</x:v>
      </x:c>
      <x:c r="D24" s="101" t="str">
        <x:v>generated_geometry</x:v>
      </x:c>
      <x:c r="E24" s="101" t="str">
        <x:v>multiple</x:v>
      </x:c>
      <x:c r="F24" s="105" t="n">
        <x:v>0.4</x:v>
      </x:c>
      <x:c r="G24" s="101" t="str">
        <x:v>{"design_revision":null,"effective_parameters_file":null,"measurement_record_revision":null,"regeneration_completed":null,"affected_parts_reviewed":null}</x:v>
      </x:c>
      <x:c r="H24" s="101" t="str">
        <x:v>{}</x:v>
      </x:c>
      <x:c r="I24" s="101" t="str">
        <x:v>Confirm all PASS measurement/coupon selections match config/parameters.json for this design revision.</x:v>
      </x:c>
    </x:row>
    <x:row r="25" ht="68" customHeight="1">
      <x:c r="A25" s="101" t="str">
        <x:v>qidi_studio_roundtrip_confirmed</x:v>
      </x:c>
      <x:c r="B25" s="101" t="str">
        <x:v>release</x:v>
      </x:c>
      <x:c r="C25" s="101" t="str">
        <x:v>NOT_TESTED</x:v>
      </x:c>
      <x:c r="D25" s="101" t="str">
        <x:v>all_active_profiles</x:v>
      </x:c>
      <x:c r="E25" s="101" t="str">
        <x:v>multiple</x:v>
      </x:c>
      <x:c r="F25" s="105" t="n">
        <x:v>0.4</x:v>
      </x:c>
      <x:c r="G25" s="101" t="str">
        <x:v>{"qidi_studio_version":null,"validated_job_ids":[],"saved_profile_revision_by_job":{},"geometry_scale_percent_by_job":{},"object_count_by_job":{},"critical_layer_preview_pass_by_job":{},"native_project_sha256_by_job":{},"evidence_reference_by_job":{}}</x:v>
      </x:c>
      <x:c r="H25" s="101" t="str">
        <x:v>{}</x:v>
      </x:c>
      <x:c r="I25" s="101" t="str">
        <x:v>For each production job: import, slice, save, reopen, and inspect without auto-scaling or losing objects/settings; record the job-specific native-project hash and preview evidence.</x:v>
      </x:c>
    </x:row>
    <x:row r="26" ht="68" customHeight="1">
      <x:c r="A26" s="101" t="str">
        <x:v>adapter_retention_method_selected</x:v>
      </x:c>
      <x:c r="B26" s="101" t="str">
        <x:v>release</x:v>
      </x:c>
      <x:c r="C26" s="101" t="str">
        <x:v>NOT_TESTED</x:v>
      </x:c>
      <x:c r="D26" s="101" t="str">
        <x:v>petg_adapter_0p4</x:v>
      </x:c>
      <x:c r="E26" s="101" t="str">
        <x:v>hardware</x:v>
      </x:c>
      <x:c r="F26" s="105" t="n">
        <x:v>0.4</x:v>
      </x:c>
      <x:c r="G26" s="101" t="str">
        <x:v>{"route":null,"retention_method":null,"hardware_or_adhesive_spec":null,"thread_pilot_selection":null}</x:v>
      </x:c>
      <x:c r="H26" s="101" t="str">
        <x:v>{}</x:v>
      </x:c>
      <x:c r="I26" s="101" t="str">
        <x:v>Select and document the positive or removable adapter-retention method.</x:v>
      </x:c>
    </x:row>
    <x:row r="27" ht="68" customHeight="1">
      <x:c r="A27" s="101" t="str">
        <x:v>keyboard_corner_coupon_pass</x:v>
      </x:c>
      <x:c r="B27" s="101" t="str">
        <x:v>coupon</x:v>
      </x:c>
      <x:c r="C27" s="101" t="str">
        <x:v>NOT_TESTED</x:v>
      </x:c>
      <x:c r="D27" s="101" t="str">
        <x:v>petg_tray_structural_0p4</x:v>
      </x:c>
      <x:c r="E27" s="101" t="str">
        <x:v>PETG</x:v>
      </x:c>
      <x:c r="F27" s="105" t="n">
        <x:v>0.4</x:v>
      </x:c>
      <x:c r="G27" s="101" t="str">
        <x:v>{"fit_result":null,"rocking_result":null,"selected_compensation_mm":null}</x:v>
      </x:c>
      <x:c r="H27" s="101" t="str">
        <x:v>{}</x:v>
      </x:c>
      <x:c r="I27" s="101" t="str">
        <x:v>Confirm the keyboard corner seats on both datums without force or rocking.</x:v>
      </x:c>
    </x:row>
    <x:row r="28" ht="68" customHeight="1">
      <x:c r="A28" s="101" t="str">
        <x:v>keyboard_seam_coupon_pass</x:v>
      </x:c>
      <x:c r="B28" s="101" t="str">
        <x:v>coupon</x:v>
      </x:c>
      <x:c r="C28" s="101" t="str">
        <x:v>NOT_TESTED</x:v>
      </x:c>
      <x:c r="D28" s="101" t="str">
        <x:v>petg_tray_structural_0p4</x:v>
      </x:c>
      <x:c r="E28" s="101" t="str">
        <x:v>PETG</x:v>
      </x:c>
      <x:c r="F28" s="105" t="n">
        <x:v>0.4</x:v>
      </x:c>
      <x:c r="G28" s="101" t="str">
        <x:v>{"fit_result":null,"assembled_gap_mm":null,"flush_mismatch_mm":null}</x:v>
      </x:c>
      <x:c r="H28" s="101" t="str">
        <x:v>{}</x:v>
      </x:c>
      <x:c r="I28" s="101" t="str">
        <x:v>Mate the M/F coupons by hand and record gap and flush mismatch.</x:v>
      </x:c>
    </x:row>
    <x:row r="29" ht="68" customHeight="1">
      <x:c r="A29" s="101" t="str">
        <x:v>tray_clearance_holes_coupon_pass</x:v>
      </x:c>
      <x:c r="B29" s="101" t="str">
        <x:v>coupon</x:v>
      </x:c>
      <x:c r="C29" s="101" t="str">
        <x:v>NOT_TESTED</x:v>
      </x:c>
      <x:c r="D29" s="101" t="str">
        <x:v>petg_tray_structural_0p4</x:v>
      </x:c>
      <x:c r="E29" s="101" t="str">
        <x:v>PETG</x:v>
      </x:c>
      <x:c r="F29" s="105" t="n">
        <x:v>0.4</x:v>
      </x:c>
      <x:c r="G29" s="101" t="str">
        <x:v>{"board_screw_major_diameter_mm":null,"smallest_free_hole_mm":null,"m4_washer_od_mm":null,"washer_fit_result":null}</x:v>
      </x:c>
      <x:c r="H29" s="101" t="str">
        <x:v>{}</x:v>
      </x:c>
      <x:c r="I29" s="101" t="str">
        <x:v>Record the smallest freely passing tray-profile hole and the accepted M4 washer recess diameter for the selected board hardware.</x:v>
      </x:c>
    </x:row>
    <x:row r="30" ht="68" customHeight="1">
      <x:c r="A30" s="101" t="str">
        <x:v>general_clearance_holes_coupon_pass</x:v>
      </x:c>
      <x:c r="B30" s="101" t="str">
        <x:v>coupon</x:v>
      </x:c>
      <x:c r="C30" s="101" t="str">
        <x:v>NOT_TESTED</x:v>
      </x:c>
      <x:c r="D30" s="101" t="str">
        <x:v>petg_general_0p4</x:v>
      </x:c>
      <x:c r="E30" s="101" t="str">
        <x:v>PETG</x:v>
      </x:c>
      <x:c r="F30" s="105" t="n">
        <x:v>0.4</x:v>
      </x:c>
      <x:c r="G30" s="101" t="str">
        <x:v>{"m3_selected_mm":null,"m4_or_board_screw_selected_mm":null,"m5_selected_mm":null}</x:v>
      </x:c>
      <x:c r="H30" s="101" t="str">
        <x:v>{}</x:v>
      </x:c>
      <x:c r="I30" s="101" t="str">
        <x:v>Record the smallest freely passing general-profile PETG hole for each fastener family.</x:v>
      </x:c>
    </x:row>
    <x:row r="31" ht="68" customHeight="1">
      <x:c r="A31" s="101" t="str">
        <x:v>calibration_clearance_holes_coupon_pass</x:v>
      </x:c>
      <x:c r="B31" s="101" t="str">
        <x:v>coupon</x:v>
      </x:c>
      <x:c r="C31" s="101" t="str">
        <x:v>NOT_TESTED</x:v>
      </x:c>
      <x:c r="D31" s="101" t="str">
        <x:v>petg_calibration_0p4</x:v>
      </x:c>
      <x:c r="E31" s="101" t="str">
        <x:v>PETG</x:v>
      </x:c>
      <x:c r="F31" s="105" t="n">
        <x:v>0.4</x:v>
      </x:c>
      <x:c r="G31" s="101" t="str">
        <x:v>{"board_screw_major_diameter_mm":null,"smallest_free_hole_mm":null,"m4_washer_od_mm":null,"washer_fit_result":null}</x:v>
      </x:c>
      <x:c r="H31" s="101" t="str">
        <x:v>{}</x:v>
      </x:c>
      <x:c r="I31" s="101" t="str">
        <x:v>Record the calibration-profile clearance and washer fit used by the TCP puck.</x:v>
      </x:c>
    </x:row>
    <x:row r="32" ht="68" customHeight="1">
      <x:c r="A32" s="101" t="str">
        <x:v>setup_hardware_coupon_pass</x:v>
      </x:c>
      <x:c r="B32" s="101" t="str">
        <x:v>coupon</x:v>
      </x:c>
      <x:c r="C32" s="101" t="str">
        <x:v>NOT_TESTED</x:v>
      </x:c>
      <x:c r="D32" s="101" t="str">
        <x:v>petg_general_0p4</x:v>
      </x:c>
      <x:c r="E32" s="101" t="str">
        <x:v>PETG</x:v>
      </x:c>
      <x:c r="F32" s="105" t="n">
        <x:v>0.4</x:v>
      </x:c>
      <x:c r="G32" s="101" t="str">
        <x:v>{"m3_head_recess_d_mm":null,"m4_washer_od_mm":null,"m5_washer_od_mm":null,"camera_hex_ac_mm":null,"fit_result":null}</x:v>
      </x:c>
      <x:c r="H32" s="101" t="str">
        <x:v>{}</x:v>
      </x:c>
      <x:c r="I32" s="101" t="str">
        <x:v>Verify the production recess, washer, and camera-hex selections against the setup gauge.</x:v>
      </x:c>
    </x:row>
    <x:row r="33" ht="68" customHeight="1">
      <x:c r="A33" s="101" t="str">
        <x:v>cradle_m4_washer_coupon_pass</x:v>
      </x:c>
      <x:c r="B33" s="101" t="str">
        <x:v>coupon</x:v>
      </x:c>
      <x:c r="C33" s="101" t="str">
        <x:v>NOT_TESTED</x:v>
      </x:c>
      <x:c r="D33" s="101" t="str">
        <x:v>petg_cradle_0p4</x:v>
      </x:c>
      <x:c r="E33" s="101" t="str">
        <x:v>PETG</x:v>
      </x:c>
      <x:c r="F33" s="105" t="n">
        <x:v>0.4</x:v>
      </x:c>
      <x:c r="G33" s="101" t="str">
        <x:v>{"actual_washer_od_mm":null,"m4_washer_od_mm":null,"fit_result":null}</x:v>
      </x:c>
      <x:c r="H33" s="101" t="str">
        <x:v>{}</x:v>
      </x:c>
      <x:c r="I33" s="101" t="str">
        <x:v>Using the exact cradle profile, record the actual washer OD and the smallest recess that seats it flat without forcing.</x:v>
      </x:c>
    </x:row>
    <x:row r="34" ht="68" customHeight="1">
      <x:c r="A34" s="101" t="str">
        <x:v>precision_m3_head_coupon_pass</x:v>
      </x:c>
      <x:c r="B34" s="101" t="str">
        <x:v>coupon</x:v>
      </x:c>
      <x:c r="C34" s="101" t="str">
        <x:v>NOT_TESTED</x:v>
      </x:c>
      <x:c r="D34" s="101" t="str">
        <x:v>petg_precision_0p4</x:v>
      </x:c>
      <x:c r="E34" s="101" t="str">
        <x:v>PETG</x:v>
      </x:c>
      <x:c r="F34" s="105" t="n">
        <x:v>0.4</x:v>
      </x:c>
      <x:c r="G34" s="101" t="str">
        <x:v>{"screw_head_d_mm":null,"m3_head_recess_d_mm":null,"fit_result":null}</x:v>
      </x:c>
      <x:c r="H34" s="101" t="str">
        <x:v>{}</x:v>
      </x:c>
      <x:c r="I34" s="101" t="str">
        <x:v>Using the exact precision-tool profile, record the actual M3 screw-head diameter and the smallest recess that seats it below the surrounding face.</x:v>
      </x:c>
    </x:row>
    <x:row r="35" ht="68" customHeight="1">
      <x:c r="A35" s="101" t="str">
        <x:v>phone_width_coupon_pass</x:v>
      </x:c>
      <x:c r="B35" s="101" t="str">
        <x:v>coupon</x:v>
      </x:c>
      <x:c r="C35" s="101" t="str">
        <x:v>NOT_TESTED</x:v>
      </x:c>
      <x:c r="D35" s="101" t="str">
        <x:v>petg_cradle_0p4</x:v>
      </x:c>
      <x:c r="E35" s="101" t="str">
        <x:v>PETG</x:v>
      </x:c>
      <x:c r="F35" s="105" t="n">
        <x:v>0.4</x:v>
      </x:c>
      <x:c r="G35" s="101" t="str">
        <x:v>{"fit_result":null,"lateral_clearance_mm":null,"rail_height_result":null}</x:v>
      </x:c>
      <x:c r="H35" s="101" t="str">
        <x:v>{}</x:v>
      </x:c>
      <x:c r="I35" s="101" t="str">
        <x:v>Confirm the final phone/case seats by hand with measured slight lateral clearance.</x:v>
      </x:c>
    </x:row>
    <x:row r="36" ht="68" customHeight="1">
      <x:c r="A36" s="101" t="str">
        <x:v>m4_horizontal_insert_coupon_pass</x:v>
      </x:c>
      <x:c r="B36" s="101" t="str">
        <x:v>coupon</x:v>
      </x:c>
      <x:c r="C36" s="101" t="str">
        <x:v>NOT_TESTED</x:v>
      </x:c>
      <x:c r="D36" s="101" t="str">
        <x:v>petg_cradle_0p4</x:v>
      </x:c>
      <x:c r="E36" s="101" t="str">
        <x:v>PETG</x:v>
      </x:c>
      <x:c r="F36" s="105" t="n">
        <x:v>0.4</x:v>
      </x:c>
      <x:c r="G36" s="101" t="str">
        <x:v>{"selected_pocket_mm":null,"insert_od_mm":null,"insert_length_mm":null,"installed_depth_mm":null,"reamed_passage_mm":null,"retention_result":null}</x:v>
      </x:c>
      <x:c r="H36" s="101" t="str">
        <x:v>{}</x:v>
      </x:c>
      <x:c r="I36" s="101" t="str">
        <x:v>Install the production M4 insert in the same-axis coupon and record size, depth, passage, and retention.</x:v>
      </x:c>
    </x:row>
    <x:row r="37" ht="68" customHeight="1">
      <x:c r="A37" s="101" t="str">
        <x:v>cable_tie_saddle_coupon_pass</x:v>
      </x:c>
      <x:c r="B37" s="101" t="str">
        <x:v>coupon</x:v>
      </x:c>
      <x:c r="C37" s="101" t="str">
        <x:v>NOT_TESTED</x:v>
      </x:c>
      <x:c r="D37" s="101" t="str">
        <x:v>petg_cradle_0p4</x:v>
      </x:c>
      <x:c r="E37" s="101" t="str">
        <x:v>PETG</x:v>
      </x:c>
      <x:c r="F37" s="105" t="n">
        <x:v>0.4</x:v>
      </x:c>
      <x:c r="G37" s="101" t="str">
        <x:v>{"selected_slot_width_mm":null,"selected_tie_width_mm":null,"feed_result":null,"saddle_crack_result":null,"cable_clearance_result":null}</x:v>
      </x:c>
      <x:c r="H37" s="101" t="str">
        <x:v>{}</x:v>
      </x:c>
      <x:c r="I37" s="101" t="str">
        <x:v>Feed the selected tie through the saddle and confirm secure clearance without cracking.</x:v>
      </x:c>
    </x:row>
    <x:row r="38" ht="68" customHeight="1">
      <x:c r="A38" s="101" t="str">
        <x:v>m3_insert_coupon_pass</x:v>
      </x:c>
      <x:c r="B38" s="101" t="str">
        <x:v>coupon</x:v>
      </x:c>
      <x:c r="C38" s="101" t="str">
        <x:v>NOT_TESTED</x:v>
      </x:c>
      <x:c r="D38" s="101" t="str">
        <x:v>petg_precision_0p4</x:v>
      </x:c>
      <x:c r="E38" s="101" t="str">
        <x:v>PETG</x:v>
      </x:c>
      <x:c r="F38" s="105" t="n">
        <x:v>0.4</x:v>
      </x:c>
      <x:c r="G38" s="101" t="str">
        <x:v>{"selected_pocket_mm":null,"insert_od_mm":null,"insert_length_mm":null,"installed_depth_mm":null,"retention_result":null}</x:v>
      </x:c>
      <x:c r="H38" s="101" t="str">
        <x:v>{}</x:v>
      </x:c>
      <x:c r="I38" s="101" t="str">
        <x:v>Record the precision-profile M3 pocket that installs square without splitting or spinning.</x:v>
      </x:c>
    </x:row>
    <x:row r="39" ht="68" customHeight="1">
      <x:c r="A39" s="101" t="str">
        <x:v>gripper_coupon_pass</x:v>
      </x:c>
      <x:c r="B39" s="101" t="str">
        <x:v>coupon</x:v>
      </x:c>
      <x:c r="C39" s="101" t="str">
        <x:v>NOT_TESTED</x:v>
      </x:c>
      <x:c r="D39" s="101" t="str">
        <x:v>petg_precision_0p4</x:v>
      </x:c>
      <x:c r="E39" s="101" t="str">
        <x:v>PETG</x:v>
      </x:c>
      <x:c r="F39" s="105" t="n">
        <x:v>0.4</x:v>
      </x:c>
      <x:c r="G39" s="101" t="str">
        <x:v>{"selected_grip_setting":null,"shim_each_side_mm":null,"slip_result":null,"crush_result":null}</x:v>
      </x:c>
      <x:c r="H39" s="101" t="str">
        <x:v>{}</x:v>
      </x:c>
      <x:c r="I39" s="101" t="str">
        <x:v>Grip the production-face coupon without bottoming, rocking, slipping, or crushing.</x:v>
      </x:c>
    </x:row>
    <x:row r="40" ht="68" customHeight="1">
      <x:c r="A40" s="101" t="str">
        <x:v>spring_fit_coupon_pass</x:v>
      </x:c>
      <x:c r="B40" s="101" t="str">
        <x:v>coupon</x:v>
      </x:c>
      <x:c r="C40" s="101" t="str">
        <x:v>NOT_TESTED</x:v>
      </x:c>
      <x:c r="D40" s="101" t="str">
        <x:v>petg_precision_0p4</x:v>
      </x:c>
      <x:c r="E40" s="101" t="str">
        <x:v>PETG</x:v>
      </x:c>
      <x:c r="F40" s="105" t="n">
        <x:v>0.4</x:v>
      </x:c>
      <x:c r="G40" s="101" t="str">
        <x:v>{"selected_step_mm":null,"post_fit_result":null,"cup_fit_result":null,"binding_result":null}</x:v>
      </x:c>
      <x:c r="H40" s="101" t="str">
        <x:v>{}</x:v>
      </x:c>
      <x:c r="I40" s="101" t="str">
        <x:v>Record the stepped spring seat and verify the spring fits without binding.</x:v>
      </x:c>
    </x:row>
    <x:row r="41" ht="68" customHeight="1">
      <x:c r="A41" s="101" t="str">
        <x:v>stylus_gauge_coupon_pass</x:v>
      </x:c>
      <x:c r="B41" s="101" t="str">
        <x:v>coupon</x:v>
      </x:c>
      <x:c r="C41" s="101" t="str">
        <x:v>NOT_TESTED</x:v>
      </x:c>
      <x:c r="D41" s="101" t="str">
        <x:v>petg_adapter_0p4</x:v>
      </x:c>
      <x:c r="E41" s="101" t="str">
        <x:v>PETG</x:v>
      </x:c>
      <x:c r="F41" s="105" t="n">
        <x:v>0.4</x:v>
      </x:c>
      <x:c r="G41" s="101" t="str">
        <x:v>{"selected_nominal_mm":null,"sliding_fit_result":null,"excess_play_result":null}</x:v>
      </x:c>
      <x:c r="H41" s="101" t="str">
        <x:v>{}</x:v>
      </x:c>
      <x:c r="I41" s="101" t="str">
        <x:v>Record the smallest adapter-profile stylus hole that slides freely without excessive play.</x:v>
      </x:c>
    </x:row>
    <x:row r="42" ht="68" customHeight="1">
      <x:c r="A42" s="101" t="str">
        <x:v>thread_pilot_coupon_pass</x:v>
      </x:c>
      <x:c r="B42" s="101" t="str">
        <x:v>coupon</x:v>
      </x:c>
      <x:c r="C42" s="101" t="str">
        <x:v>NOT_TESTED</x:v>
      </x:c>
      <x:c r="D42" s="101" t="str">
        <x:v>petg_adapter_0p4</x:v>
      </x:c>
      <x:c r="E42" s="101" t="str">
        <x:v>PETG</x:v>
      </x:c>
      <x:c r="F42" s="105" t="n">
        <x:v>0.4</x:v>
      </x:c>
      <x:c r="G42" s="101" t="str">
        <x:v>{"fastener_spec":null,"selected_pilot_mm":null,"thread_form_result":null,"split_result":null}</x:v>
      </x:c>
      <x:c r="H42" s="101" t="str">
        <x:v>{}</x:v>
      </x:c>
      <x:c r="I42" s="101" t="str">
        <x:v>Record the horizontal pilot that forms usable threads without splitting.</x:v>
      </x:c>
    </x:row>
    <x:row r="43" ht="68" customHeight="1">
      <x:c r="A43" s="101" t="str">
        <x:v>phone_tpu_retention_coupon_pass</x:v>
      </x:c>
      <x:c r="B43" s="101" t="str">
        <x:v>coupon</x:v>
      </x:c>
      <x:c r="C43" s="101" t="str">
        <x:v>NOT_TESTED</x:v>
      </x:c>
      <x:c r="D43" s="101" t="str">
        <x:v>tpu95a_0p4</x:v>
      </x:c>
      <x:c r="E43" s="101" t="str">
        <x:v>TPU 95A</x:v>
      </x:c>
      <x:c r="F43" s="105" t="n">
        <x:v>0.4</x:v>
      </x:c>
      <x:c r="G43" s="101" t="str">
        <x:v>{"first_article_job":null,"installation_result":null,"axial_pull_test_method":null,"pull_off_result":null,"contact_face_result":null}</x:v>
      </x:c>
      <x:c r="H43" s="101" t="str">
        <x:v>{}</x:v>
      </x:c>
      <x:c r="I43" s="101" t="str">
        <x:v>Test the job 05A first article on the M4 peg and record the pull-off result.</x:v>
      </x:c>
    </x:row>
    <x:row r="44" ht="68" customHeight="1">
      <x:c r="A44" s="101" t="str">
        <x:v>keyboard_tpu_retention_coupon_pass</x:v>
      </x:c>
      <x:c r="B44" s="101" t="str">
        <x:v>coupon</x:v>
      </x:c>
      <x:c r="C44" s="101" t="str">
        <x:v>NOT_TESTED</x:v>
      </x:c>
      <x:c r="D44" s="101" t="str">
        <x:v>tpu95a_0p4</x:v>
      </x:c>
      <x:c r="E44" s="101" t="str">
        <x:v>TPU 95A</x:v>
      </x:c>
      <x:c r="F44" s="105" t="n">
        <x:v>0.4</x:v>
      </x:c>
      <x:c r="G44" s="101" t="str">
        <x:v>{"first_article_job":null,"installation_result":null,"axial_pull_test_method":null,"pull_off_result":null,"contact_face_result":null}</x:v>
      </x:c>
      <x:c r="H44" s="101" t="str">
        <x:v>{}</x:v>
      </x:c>
      <x:c r="I44" s="101" t="str">
        <x:v>Test the job 05C first article on the 6 mm peg and record the pull-off result.</x:v>
      </x:c>
    </x:row>
    <x:row r="45" ht="68" customHeight="1">
      <x:c r="A45" s="101" t="str">
        <x:v>asa_mast_socket_coupon_pass</x:v>
      </x:c>
      <x:c r="B45" s="101" t="str">
        <x:v>coupon</x:v>
      </x:c>
      <x:c r="C45" s="101" t="str">
        <x:v>NOT_TESTED</x:v>
      </x:c>
      <x:c r="D45" s="101" t="str">
        <x:v>asa_structural_0p4</x:v>
      </x:c>
      <x:c r="E45" s="101" t="str">
        <x:v>ASA</x:v>
      </x:c>
      <x:c r="F45" s="105" t="n">
        <x:v>0.4</x:v>
      </x:c>
      <x:c r="G45" s="101" t="str">
        <x:v>{"selected_socket_mm":null,"extrusion_x_mm":null,"extrusion_y_mm":null,"fit_result":null}</x:v>
      </x:c>
      <x:c r="H45" s="101" t="str">
        <x:v>{}</x:v>
      </x:c>
      <x:c r="I45" s="101" t="str">
        <x:v>Record the same-profile ASA socket that fits the measured extrusion without rocking.</x:v>
      </x:c>
    </x:row>
    <x:row r="46" ht="68" customHeight="1">
      <x:c r="A46" s="101" t="str">
        <x:v>asa_m5_nut_coupon_pass</x:v>
      </x:c>
      <x:c r="B46" s="101" t="str">
        <x:v>coupon</x:v>
      </x:c>
      <x:c r="C46" s="101" t="str">
        <x:v>NOT_TESTED</x:v>
      </x:c>
      <x:c r="D46" s="101" t="str">
        <x:v>asa_structural_0p4</x:v>
      </x:c>
      <x:c r="E46" s="101" t="str">
        <x:v>ASA</x:v>
      </x:c>
      <x:c r="F46" s="105" t="n">
        <x:v>0.4</x:v>
      </x:c>
      <x:c r="G46" s="101" t="str">
        <x:v>{"selected_hex_mm":null,"nut_across_flats_mm":null,"nut_thickness_mm":null,"retention_result":null}</x:v>
      </x:c>
      <x:c r="H46" s="101" t="str">
        <x:v>{}</x:v>
      </x:c>
      <x:c r="I46" s="101" t="str">
        <x:v>Record the ASA hex pocket that fully seats the actual M5 nut without splitting or spinning.</x:v>
      </x:c>
    </x:row>
    <x:row r="47" ht="68" customHeight="1">
      <x:c r="A47" s="101" t="str">
        <x:v>asa_m5_clearance_coupon_pass</x:v>
      </x:c>
      <x:c r="B47" s="101" t="str">
        <x:v>coupon</x:v>
      </x:c>
      <x:c r="C47" s="101" t="str">
        <x:v>NOT_TESTED</x:v>
      </x:c>
      <x:c r="D47" s="101" t="str">
        <x:v>asa_structural_0p4</x:v>
      </x:c>
      <x:c r="E47" s="101" t="str">
        <x:v>ASA</x:v>
      </x:c>
      <x:c r="F47" s="105" t="n">
        <x:v>0.4</x:v>
      </x:c>
      <x:c r="G47" s="101" t="str">
        <x:v>{"bolt_major_diameter_mm":null,"selected_horizontal_hole_mm":null,"selected_base_hole_mm":null,"m5_washer_od_mm":null,"m5_washer_fit_result":null}</x:v>
      </x:c>
      <x:c r="H47" s="101" t="str">
        <x:v>{}</x:v>
      </x:c>
      <x:c r="I47" s="101" t="str">
        <x:v>Record the production-axis ASA M5 passage, base-hole, and washer fits.</x:v>
      </x:c>
    </x:row>
    <x:row r="48" ht="68" customHeight="1">
      <x:c r="A48" s="101" t="str">
        <x:v>tag_artwork_scale_pass</x:v>
      </x:c>
      <x:c r="B48" s="101" t="str">
        <x:v>first_article</x:v>
      </x:c>
      <x:c r="C48" s="101" t="str">
        <x:v>NOT_TESTED</x:v>
      </x:c>
      <x:c r="D48" s="101" t="str">
        <x:v>artwork_100_percent</x:v>
      </x:c>
      <x:c r="E48" s="101" t="str">
        <x:v>paper</x:v>
      </x:c>
      <x:c r="F48" s="105" t="str">
        <x:v>not_applicable</x:v>
      </x:c>
      <x:c r="G48" s="101" t="str">
        <x:v>{"tag_id":null,"detection_edge_mm":null,"tile_size_mm":null,"print_scale_percent":null,"orientation_marked":null}</x:v>
      </x:c>
      <x:c r="H48" s="101" t="str">
        <x:v>{}</x:v>
      </x:c>
      <x:c r="I48" s="101" t="str">
        <x:v>Verify the tag detection edge, tile size, 100% scale, and +Y orientation mark.</x:v>
      </x:c>
    </x:row>
    <x:row r="49" ht="68" customHeight="1">
      <x:c r="A49" s="101" t="str">
        <x:v>tag_frame_first_article_pass</x:v>
      </x:c>
      <x:c r="B49" s="101" t="str">
        <x:v>first_article</x:v>
      </x:c>
      <x:c r="C49" s="101" t="str">
        <x:v>NOT_TESTED</x:v>
      </x:c>
      <x:c r="D49" s="101" t="str">
        <x:v>petg_general_0p4</x:v>
      </x:c>
      <x:c r="E49" s="101" t="str">
        <x:v>PETG</x:v>
      </x:c>
      <x:c r="F49" s="105" t="n">
        <x:v>0.4</x:v>
      </x:c>
      <x:c r="G49" s="101" t="str">
        <x:v>{"job_id":null,"flatness_mm":null,"tag_fit_result":null,"washer_zone_result":null,"id_legibility_result":null}</x:v>
      </x:c>
      <x:c r="H49" s="101" t="str">
        <x:v>{}</x:v>
      </x:c>
      <x:c r="I49" s="101" t="str">
        <x:v>Inspect job 03C1 for flatness, tag fit, washer zones, and ID0 legibility.</x:v>
      </x:c>
    </x:row>
    <x:row r="50" ht="68" customHeight="1">
      <x:c r="A50" s="101" t="str">
        <x:v>keyboard_left_first_article_pass</x:v>
      </x:c>
      <x:c r="B50" s="101" t="str">
        <x:v>first_article</x:v>
      </x:c>
      <x:c r="C50" s="101" t="str">
        <x:v>NOT_TESTED</x:v>
      </x:c>
      <x:c r="D50" s="101" t="str">
        <x:v>petg_tray_structural_0p4</x:v>
      </x:c>
      <x:c r="E50" s="101" t="str">
        <x:v>PETG</x:v>
      </x:c>
      <x:c r="F50" s="105" t="n">
        <x:v>0.4</x:v>
      </x:c>
      <x:c r="G50" s="101" t="str">
        <x:v>{"job_id":null,"flatness_mm":null,"slot_fit_result":null,"washer_track_result":null,"datum_surface_result":null,"seam_key_result":null}</x:v>
      </x:c>
      <x:c r="H50" s="101" t="str">
        <x:v>{}</x:v>
      </x:c>
      <x:c r="I50" s="101" t="str">
        <x:v>Inspect cooled job 01 before releasing the matching right tray.</x:v>
      </x:c>
    </x:row>
    <x:row r="51" ht="68" customHeight="1">
      <x:c r="A51" s="101" t="str">
        <x:v>mast_foot_first_article_pass</x:v>
      </x:c>
      <x:c r="B51" s="101" t="str">
        <x:v>first_article</x:v>
      </x:c>
      <x:c r="C51" s="101" t="str">
        <x:v>NOT_TESTED</x:v>
      </x:c>
      <x:c r="D51" s="101" t="str">
        <x:v>asa_structural_0p4</x:v>
      </x:c>
      <x:c r="E51" s="101" t="str">
        <x:v>ASA</x:v>
      </x:c>
      <x:c r="F51" s="105" t="n">
        <x:v>0.4</x:v>
      </x:c>
      <x:c r="G51" s="101" t="str">
        <x:v>{"job_id":null,"socket_fit_result":null,"nut_fit_result":null,"bolt_clamp_result":null,"initial_crack_result":null,"crack_result_after_24h":null,"base_flatness_mm":null}</x:v>
      </x:c>
      <x:c r="H51" s="101" t="str">
        <x:v>{}</x:v>
      </x:c>
      <x:c r="I51" s="101" t="str">
        <x:v>Fully assemble job 07A and verify fit, clamp function, flatness, and no cracks after 24 hours.</x:v>
      </x:c>
    </x:row>
    <x:row r="52" ht="68" customHeight="1">
      <x:c r="A52" s="101" t="str">
        <x:v>keyboard_tray_pair_postprint_pass</x:v>
      </x:c>
      <x:c r="B52" s="101" t="str">
        <x:v>postprint</x:v>
      </x:c>
      <x:c r="C52" s="101" t="str">
        <x:v>NOT_TESTED</x:v>
      </x:c>
      <x:c r="D52" s="101" t="str">
        <x:v>petg_tray_structural_0p4</x:v>
      </x:c>
      <x:c r="E52" s="101" t="str">
        <x:v>PETG</x:v>
      </x:c>
      <x:c r="F52" s="105" t="n">
        <x:v>0.4</x:v>
      </x:c>
      <x:c r="G52" s="101" t="str">
        <x:v>{"jobs":null,"assembled_gap_mm":null,"flush_mismatch_mm":null,"overall_flatness_mm":null,"keyboard_dry_fit_result":null}</x:v>
      </x:c>
      <x:c r="H52" s="101" t="str">
        <x:v>{}</x:v>
      </x:c>
      <x:c r="I52" s="101" t="str">
        <x:v>Mate cooled jobs 01/02 and record seam, flatness, and keyboard dry fit.</x:v>
      </x:c>
    </x:row>
    <x:row r="53" ht="68" customHeight="1">
      <x:c r="A53" s="101" t="str">
        <x:v>keyboard_clamps_postprint_pass</x:v>
      </x:c>
      <x:c r="B53" s="101" t="str">
        <x:v>postprint</x:v>
      </x:c>
      <x:c r="C53" s="101" t="str">
        <x:v>NOT_TESTED</x:v>
      </x:c>
      <x:c r="D53" s="101" t="str">
        <x:v>petg_general_0p4</x:v>
      </x:c>
      <x:c r="E53" s="101" t="str">
        <x:v>PETG</x:v>
      </x:c>
      <x:c r="F53" s="105" t="n">
        <x:v>0.4</x:v>
      </x:c>
      <x:c r="G53" s="101" t="str">
        <x:v>{"job_id":null,"quantity":null,"base_flatness_mm":null,"gusset_result":null,"slot_result":null,"pad_fit_result":null}</x:v>
      </x:c>
      <x:c r="H53" s="101" t="str">
        <x:v>{}</x:v>
      </x:c>
      <x:c r="I53" s="101" t="str">
        <x:v>Inspect both job 03B clamps and their pad interfaces.</x:v>
      </x:c>
    </x:row>
    <x:row r="54" ht="68" customHeight="1">
      <x:c r="A54" s="101" t="str">
        <x:v>phone_cradle_postprint_pass</x:v>
      </x:c>
      <x:c r="B54" s="101" t="str">
        <x:v>postprint</x:v>
      </x:c>
      <x:c r="C54" s="101" t="str">
        <x:v>NOT_TESTED</x:v>
      </x:c>
      <x:c r="D54" s="101" t="str">
        <x:v>petg_cradle_0p4</x:v>
      </x:c>
      <x:c r="E54" s="101" t="str">
        <x:v>PETG</x:v>
      </x:c>
      <x:c r="F54" s="105" t="n">
        <x:v>0.4</x:v>
      </x:c>
      <x:c r="G54" s="101" t="str">
        <x:v>{"job_id":null,"base_flatness_mm":null,"rail_fit_result":null,"tower_result":null,"insert_squareness_result":null,"passage_result":null,"cable_saddle_result":null}</x:v>
      </x:c>
      <x:c r="H54" s="101" t="str">
        <x:v>{}</x:v>
      </x:c>
      <x:c r="I54" s="101" t="str">
        <x:v>Inspect and prepare the cooled cradle before loading hardware or the phone.</x:v>
      </x:c>
    </x:row>
    <x:row r="55" ht="68" customHeight="1">
      <x:c r="A55" s="101" t="str">
        <x:v>tag_frame_batch_postprint_pass</x:v>
      </x:c>
      <x:c r="B55" s="101" t="str">
        <x:v>postprint</x:v>
      </x:c>
      <x:c r="C55" s="101" t="str">
        <x:v>NOT_TESTED</x:v>
      </x:c>
      <x:c r="D55" s="101" t="str">
        <x:v>petg_general_0p4</x:v>
      </x:c>
      <x:c r="E55" s="101" t="str">
        <x:v>PETG</x:v>
      </x:c>
      <x:c r="F55" s="105" t="n">
        <x:v>0.4</x:v>
      </x:c>
      <x:c r="G55" s="101" t="str">
        <x:v>{"job_id":null,"quantity":null,"ids_confirmed":null,"flatness_result":null,"tag_fit_result":null}</x:v>
      </x:c>
      <x:c r="H55" s="101" t="str">
        <x:v>{}</x:v>
      </x:c>
      <x:c r="I55" s="101" t="str">
        <x:v>Inspect the ID1-ID5 frame batch for count, identity, flatness, and tag fit.</x:v>
      </x:c>
    </x:row>
    <x:row r="56" ht="68" customHeight="1">
      <x:c r="A56" s="101" t="str">
        <x:v>camera_plate_hardware_pass</x:v>
      </x:c>
      <x:c r="B56" s="101" t="str">
        <x:v>postprint</x:v>
      </x:c>
      <x:c r="C56" s="101" t="str">
        <x:v>NOT_TESTED</x:v>
      </x:c>
      <x:c r="D56" s="101" t="str">
        <x:v>petg_general_0p4</x:v>
      </x:c>
      <x:c r="E56" s="101" t="str">
        <x:v>PETG</x:v>
      </x:c>
      <x:c r="F56" s="105" t="n">
        <x:v>0.4</x:v>
      </x:c>
      <x:c r="G56" s="101" t="str">
        <x:v>{"job_id":null,"camera_screw_engagement_mm":null,"tslot_hardware_result":null,"strap_slot_result":null,"camera_screw_bottoming_result":null}</x:v>
      </x:c>
      <x:c r="H56" s="101" t="str">
        <x:v>{}</x:v>
      </x:c>
      <x:c r="I56" s="101" t="str">
        <x:v>Verify the actual camera, screw, T-slot hardware, and straps.</x:v>
      </x:c>
    </x:row>
    <x:row r="57" ht="68" customHeight="1">
      <x:c r="A57" s="101" t="str">
        <x:v>calibration_puck_datum_pass</x:v>
      </x:c>
      <x:c r="B57" s="101" t="str">
        <x:v>postprint</x:v>
      </x:c>
      <x:c r="C57" s="101" t="str">
        <x:v>NOT_TESTED</x:v>
      </x:c>
      <x:c r="D57" s="101" t="str">
        <x:v>petg_calibration_0p4</x:v>
      </x:c>
      <x:c r="E57" s="101" t="str">
        <x:v>PETG</x:v>
      </x:c>
      <x:c r="F57" s="105" t="n">
        <x:v>0.4</x:v>
      </x:c>
      <x:c r="G57" s="101" t="str">
        <x:v>{"job_id":null,"flatness_mm":null,"crosshair_result":null,"divot_result":null,"mounted_datum_height_mm":null}</x:v>
      </x:c>
      <x:c r="H57" s="101" t="str">
        <x:v>{}</x:v>
      </x:c>
      <x:c r="I57" s="101" t="str">
        <x:v>Inspect the puck datum and record flatness and mounted height.</x:v>
      </x:c>
    </x:row>
    <x:row r="58" ht="68" customHeight="1">
      <x:c r="A58" s="101" t="str">
        <x:v>tool_body_postprint_pass</x:v>
      </x:c>
      <x:c r="B58" s="101" t="str">
        <x:v>postprint</x:v>
      </x:c>
      <x:c r="C58" s="101" t="str">
        <x:v>NOT_TESTED</x:v>
      </x:c>
      <x:c r="D58" s="101" t="str">
        <x:v>petg_precision_0p4</x:v>
      </x:c>
      <x:c r="E58" s="101" t="str">
        <x:v>PETG</x:v>
      </x:c>
      <x:c r="F58" s="105" t="n">
        <x:v>0.4</x:v>
      </x:c>
      <x:c r="G58" s="101" t="str">
        <x:v>{"job_id":null,"body_straightness_result":null,"bore_finish_result":null,"gripper_flat_result":null,"insert_result":null,"cap_fit_result":null,"spare_cap_count":null}</x:v>
      </x:c>
      <x:c r="H58" s="101" t="str">
        <x:v>{}</x:v>
      </x:c>
      <x:c r="I58" s="101" t="str">
        <x:v>Inspect the body, caps, inserts, bores, and gripper faces.</x:v>
      </x:c>
    </x:row>
    <x:row r="59" ht="68" customHeight="1">
      <x:c r="A59" s="101" t="str">
        <x:v>stylus_collar_retention_pass</x:v>
      </x:c>
      <x:c r="B59" s="101" t="str">
        <x:v>postprint</x:v>
      </x:c>
      <x:c r="C59" s="101" t="str">
        <x:v>NOT_TESTED</x:v>
      </x:c>
      <x:c r="D59" s="101" t="str">
        <x:v>petg_adapter_0p4</x:v>
      </x:c>
      <x:c r="E59" s="101" t="str">
        <x:v>PETG</x:v>
      </x:c>
      <x:c r="F59" s="105" t="n">
        <x:v>0.4</x:v>
      </x:c>
      <x:c r="G59" s="101" t="str">
        <x:v>{"job_id":null,"selected_collar":null,"retention_method":null,"initial_pull_result":null,"creep_result_after_24h":null}</x:v>
      </x:c>
      <x:c r="H59" s="101" t="str">
        <x:v>{}</x:v>
      </x:c>
      <x:c r="I59" s="101" t="str">
        <x:v>Qualify one collar and retain the second as a labeled spare.</x:v>
      </x:c>
    </x:row>
    <x:row r="60" ht="68" customHeight="1">
      <x:c r="A60" s="101" t="str">
        <x:v>rod_bushing_retention_pass</x:v>
      </x:c>
      <x:c r="B60" s="101" t="str">
        <x:v>postprint</x:v>
      </x:c>
      <x:c r="C60" s="101" t="str">
        <x:v>NOT_TESTED</x:v>
      </x:c>
      <x:c r="D60" s="101" t="str">
        <x:v>petg_adapter_0p4</x:v>
      </x:c>
      <x:c r="E60" s="101" t="str">
        <x:v>PETG</x:v>
      </x:c>
      <x:c r="F60" s="105" t="n">
        <x:v>0.4</x:v>
      </x:c>
      <x:c r="G60" s="101" t="str">
        <x:v>{"job_id":null,"selected_bushing":null,"rod_projection_mm":null,"retention_method":null,"initial_pull_result":null,"creep_result_after_24h":null}</x:v>
      </x:c>
      <x:c r="H60" s="101" t="str">
        <x:v>{}</x:v>
      </x:c>
      <x:c r="I60" s="101" t="str">
        <x:v>Qualify one rod bushing and retain the second as a labeled spare.</x:v>
      </x:c>
    </x:row>
    <x:row r="61" ht="68" customHeight="1">
      <x:c r="A61" s="101" t="str">
        <x:v>phone_tpu_batch_postprint_pass</x:v>
      </x:c>
      <x:c r="B61" s="101" t="str">
        <x:v>postprint</x:v>
      </x:c>
      <x:c r="C61" s="101" t="str">
        <x:v>NOT_TESTED</x:v>
      </x:c>
      <x:c r="D61" s="101" t="str">
        <x:v>tpu95a_0p4</x:v>
      </x:c>
      <x:c r="E61" s="101" t="str">
        <x:v>TPU 95A</x:v>
      </x:c>
      <x:c r="F61" s="105" t="n">
        <x:v>0.4</x:v>
      </x:c>
      <x:c r="G61" s="101" t="str">
        <x:v>{"job_id":null,"quantity":null,"bore_result":null,"contact_face_result":null,"installed_count":null,"spare_count":null}</x:v>
      </x:c>
      <x:c r="H61" s="101" t="str">
        <x:v>{}</x:v>
      </x:c>
      <x:c r="I61" s="101" t="str">
        <x:v>Inspect and account for all production/spare phone tips.</x:v>
      </x:c>
    </x:row>
    <x:row r="62" ht="68" customHeight="1">
      <x:c r="A62" s="101" t="str">
        <x:v>keyboard_tpu_batch_postprint_pass</x:v>
      </x:c>
      <x:c r="B62" s="101" t="str">
        <x:v>postprint</x:v>
      </x:c>
      <x:c r="C62" s="101" t="str">
        <x:v>NOT_TESTED</x:v>
      </x:c>
      <x:c r="D62" s="101" t="str">
        <x:v>tpu95a_0p4</x:v>
      </x:c>
      <x:c r="E62" s="101" t="str">
        <x:v>TPU 95A</x:v>
      </x:c>
      <x:c r="F62" s="105" t="n">
        <x:v>0.4</x:v>
      </x:c>
      <x:c r="G62" s="101" t="str">
        <x:v>{"job_id":null,"quantity":null,"bore_result":null,"contact_face_result":null,"installed_count":null,"spare_count":null}</x:v>
      </x:c>
      <x:c r="H62" s="101" t="str">
        <x:v>{}</x:v>
      </x:c>
      <x:c r="I62" s="101" t="str">
        <x:v>Inspect and account for all production/spare keyboard tips.</x:v>
      </x:c>
    </x:row>
    <x:row r="63" ht="68" customHeight="1">
      <x:c r="A63" s="101" t="str">
        <x:v>mast_second_foot_postprint_pass</x:v>
      </x:c>
      <x:c r="B63" s="101" t="str">
        <x:v>postprint</x:v>
      </x:c>
      <x:c r="C63" s="101" t="str">
        <x:v>NOT_TESTED</x:v>
      </x:c>
      <x:c r="D63" s="101" t="str">
        <x:v>asa_structural_0p4</x:v>
      </x:c>
      <x:c r="E63" s="101" t="str">
        <x:v>ASA</x:v>
      </x:c>
      <x:c r="F63" s="105" t="n">
        <x:v>0.4</x:v>
      </x:c>
      <x:c r="G63" s="101" t="str">
        <x:v>{"job_id":null,"base_flatness_mm":null,"socket_fit_result":null,"bolt_clamp_result":null,"crack_result_after_24h":null}</x:v>
      </x:c>
      <x:c r="H63" s="101" t="str">
        <x:v>{}</x:v>
      </x:c>
      <x:c r="I63" s="101" t="str">
        <x:v>Inspect and fully load the second mast foot using the accepted method.</x:v>
      </x:c>
    </x:row>
    <x:row r="64" ht="68" customHeight="1">
      <x:c r="A64" s="101" t="str">
        <x:v>board_fabrication_pass</x:v>
      </x:c>
      <x:c r="B64" s="101" t="str">
        <x:v>assembly</x:v>
      </x:c>
      <x:c r="C64" s="101" t="str">
        <x:v>NOT_TESTED</x:v>
      </x:c>
      <x:c r="D64" s="101" t="str">
        <x:v>board_fabrication</x:v>
      </x:c>
      <x:c r="E64" s="101" t="str">
        <x:v>board</x:v>
      </x:c>
      <x:c r="F64" s="105" t="str">
        <x:v>not_applicable</x:v>
      </x:c>
      <x:c r="G64" s="101" t="str">
        <x:v>{"width_mm":null,"depth_mm":null,"thickness_mm":null,"flatness_mm":null,"template_scale_bar_mm":null,"pilot_hole_result":null}</x:v>
      </x:c>
      <x:c r="H64" s="101" t="str">
        <x:v>{}</x:v>
      </x:c>
      <x:c r="I64" s="101" t="str">
        <x:v>Verify the board, 100 mm template scale, flatness, and pilot holes.</x:v>
      </x:c>
    </x:row>
    <x:row r="65" ht="68" customHeight="1">
      <x:c r="A65" s="101" t="str">
        <x:v>keyboard_fixture_assembly_pass</x:v>
      </x:c>
      <x:c r="B65" s="101" t="str">
        <x:v>assembly</x:v>
      </x:c>
      <x:c r="C65" s="101" t="str">
        <x:v>NOT_TESTED</x:v>
      </x:c>
      <x:c r="D65" s="101" t="str">
        <x:v>keyboard_fixture</x:v>
      </x:c>
      <x:c r="E65" s="101" t="str">
        <x:v>assembly</x:v>
      </x:c>
      <x:c r="F65" s="105" t="str">
        <x:v>not_applicable</x:v>
      </x:c>
      <x:c r="G65" s="101" t="str">
        <x:v>{"tray_pair_gate":null,"clamp_gate":null,"pad_count":null,"washer_count":null,"remove_reinstall_cycles":null,"repeatability_result":null}</x:v>
      </x:c>
      <x:c r="H65" s="101" t="str">
        <x:v>{}</x:v>
      </x:c>
      <x:c r="I65" s="101" t="str">
        <x:v>Pass ten keyboard remove/reinstall cycles without rocking or pose change.</x:v>
      </x:c>
    </x:row>
    <x:row r="66" ht="68" customHeight="1">
      <x:c r="A66" s="101" t="str">
        <x:v>phone_fixture_assembly_pass</x:v>
      </x:c>
      <x:c r="B66" s="101" t="str">
        <x:v>assembly</x:v>
      </x:c>
      <x:c r="C66" s="101" t="str">
        <x:v>NOT_TESTED</x:v>
      </x:c>
      <x:c r="D66" s="101" t="str">
        <x:v>phone_fixture</x:v>
      </x:c>
      <x:c r="E66" s="101" t="str">
        <x:v>assembly</x:v>
      </x:c>
      <x:c r="F66" s="105" t="str">
        <x:v>not_applicable</x:v>
      </x:c>
      <x:c r="G66" s="101" t="str">
        <x:v>{"cradle_gate":null,"tpu_gate":null,"button_clearance_result":null,"camera_clearance_result":null,"usb_strain_relief_result":null,"remove_reinstall_cycles":null,"repeatability_result":null}</x:v>
      </x:c>
      <x:c r="H66" s="101" t="str">
        <x:v>{}</x:v>
      </x:c>
      <x:c r="I66" s="101" t="str">
        <x:v>Pass ten phone cycles with button, camera, and USB clearances maintained.</x:v>
      </x:c>
    </x:row>
    <x:row r="67" ht="68" customHeight="1">
      <x:c r="A67" s="101" t="str">
        <x:v>tag_frame_installation_pass</x:v>
      </x:c>
      <x:c r="B67" s="101" t="str">
        <x:v>assembly</x:v>
      </x:c>
      <x:c r="C67" s="101" t="str">
        <x:v>NOT_TESTED</x:v>
      </x:c>
      <x:c r="D67" s="101" t="str">
        <x:v>vision_fiducials</x:v>
      </x:c>
      <x:c r="E67" s="101" t="str">
        <x:v>assembly</x:v>
      </x:c>
      <x:c r="F67" s="105" t="str">
        <x:v>not_applicable</x:v>
      </x:c>
      <x:c r="G67" s="101" t="str">
        <x:v>{"installed_ids":null,"orientation_result":null,"marker_size_result":null,"washer_clearance_result":null,"detection_result":null}</x:v>
      </x:c>
      <x:c r="H67" s="101" t="str">
        <x:v>{}</x:v>
      </x:c>
      <x:c r="I67" s="101" t="str">
        <x:v>Install IDs 0-5 with consistent +Y orientation and verify detection.</x:v>
      </x:c>
    </x:row>
    <x:row r="68" ht="68" customHeight="1">
      <x:c r="A68" s="101" t="str">
        <x:v>tool_assembled_motion_pass</x:v>
      </x:c>
      <x:c r="B68" s="101" t="str">
        <x:v>assembly</x:v>
      </x:c>
      <x:c r="C68" s="101" t="str">
        <x:v>NOT_TESTED</x:v>
      </x:c>
      <x:c r="D68" s="101" t="str">
        <x:v>compliant_tool</x:v>
      </x:c>
      <x:c r="E68" s="101" t="str">
        <x:v>assembly</x:v>
      </x:c>
      <x:c r="F68" s="105" t="str">
        <x:v>not_applicable</x:v>
      </x:c>
      <x:c r="G68" s="101" t="str">
        <x:v>{"route":null,"free_travel_mm":null,"return_result":null,"coil_bind_result":null,"gripper_hold_result":null,"cycle_count":null}</x:v>
      </x:c>
      <x:c r="H68" s="101" t="str">
        <x:v>{}</x:v>
      </x:c>
      <x:c r="I68" s="101" t="str">
        <x:v>Verify 3-6 mm travel, full return, no coil bind, and stable gripper retention.</x:v>
      </x:c>
    </x:row>
    <x:row r="69" ht="68" customHeight="1">
      <x:c r="A69" s="101" t="str">
        <x:v>stylus_function_pass</x:v>
      </x:c>
      <x:c r="B69" s="101" t="str">
        <x:v>assembly</x:v>
      </x:c>
      <x:c r="C69" s="101" t="str">
        <x:v>NOT_TESTED</x:v>
      </x:c>
      <x:c r="D69" s="101" t="str">
        <x:v>phone_stylus_route</x:v>
      </x:c>
      <x:c r="E69" s="101" t="str">
        <x:v>assembly</x:v>
      </x:c>
      <x:c r="F69" s="105" t="str">
        <x:v>not_applicable</x:v>
      </x:c>
      <x:c r="G69" s="101" t="str">
        <x:v>{"stylus_model":null,"manual_tap_count":null,"successful_taps":null,"electrical_touch_result":null,"assembled_projection_mm":null}</x:v>
      </x:c>
      <x:c r="H69" s="101" t="str">
        <x:v>{}</x:v>
      </x:c>
      <x:c r="I69" s="101" t="str">
        <x:v>Verify capacitive operation by hand and after installation.</x:v>
      </x:c>
    </x:row>
    <x:row r="70" ht="68" customHeight="1">
      <x:c r="A70" s="101" t="str">
        <x:v>mast_pair_installation_pass</x:v>
      </x:c>
      <x:c r="B70" s="101" t="str">
        <x:v>assembly</x:v>
      </x:c>
      <x:c r="C70" s="101" t="str">
        <x:v>NOT_TESTED</x:v>
      </x:c>
      <x:c r="D70" s="101" t="str">
        <x:v>camera_mast</x:v>
      </x:c>
      <x:c r="E70" s="101" t="str">
        <x:v>assembly</x:v>
      </x:c>
      <x:c r="F70" s="105" t="str">
        <x:v>not_applicable</x:v>
      </x:c>
      <x:c r="G70" s="101" t="str">
        <x:v>{"foot_a_gate":null,"foot_b_gate":null,"base_hardware_count":null,"crossbar_level_result":null,"mast_plumb_result":null,"camera_stability_result":null}</x:v>
      </x:c>
      <x:c r="H70" s="101" t="str">
        <x:v>{}</x:v>
      </x:c>
      <x:c r="I70" s="101" t="str">
        <x:v>Assemble both accepted feet and verify level, plumb, hardware count, and camera stability.</x:v>
      </x:c>
    </x:row>
  </x:sheetData>
  <x:mergeCells>
    <x:mergeCell ref="A1:I1"/>
  </x:mergeCells>
  <x:conditionalFormatting sqref="C4:C70">
    <x:cfRule type="containsText" dxfId="0" priority="1" operator="containsText" text="PASS"/>
    <x:cfRule type="containsText" dxfId="1" priority="2" operator="containsText" text="READY"/>
    <x:cfRule type="containsText" dxfId="2" priority="3" operator="containsText" text="WAITING"/>
    <x:cfRule type="containsText" dxfId="3" priority="4" operator="containsText" text="NOT_TESTED"/>
    <x:cfRule type="containsText" dxfId="4" priority="5" operator="containsText" text="FAIL"/>
    <x:cfRule type="containsText" dxfId="5" priority="6" operator="containsText" text="NOT_SELECTED"/>
  </x:conditionalFormatting>
  <x:pageMargins left="0.7" right="0.7" top="0.75" bottom="0.75" header="0.3" footer="0.3"/>
  <x:tableParts count="1">
    <x:tablePart xmlns:r="http://schemas.openxmlformats.org/officeDocument/2006/relationships" r:id="R09aee74c6d2a45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40" hidden="0" customWidth="1"/>
    <x:col min="4" max="4" width="18" hidden="0" customWidth="1"/>
    <x:col min="5" max="5" width="16" hidden="0" customWidth="1"/>
    <x:col min="6" max="6" width="30" hidden="0" customWidth="1"/>
  </x:cols>
  <x:sheetData>
    <x:row r="1" ht="30" customHeight="1">
      <x:c r="A1" s="86" t="str">
        <x:v>Job-to-Gate Map - formula-linked to current gate status and scope</x:v>
      </x:c>
      <x:c r="B1" s="86"/>
      <x:c r="C1" s="86"/>
      <x:c r="D1" s="86"/>
      <x:c r="E1" s="86"/>
      <x:c r="F1" s="86"/>
    </x:row>
    <x:row r="3" ht="30" customHeight="1">
      <x:c r="A3" s="93" t="str">
        <x:v>Job</x:v>
      </x:c>
      <x:c r="B3" s="94" t="str">
        <x:v>Plate</x:v>
      </x:c>
      <x:c r="C3" s="94" t="str">
        <x:v>Gate ID</x:v>
      </x:c>
      <x:c r="D3" s="94" t="str">
        <x:v>Current status</x:v>
      </x:c>
      <x:c r="E3" s="94" t="str">
        <x:v>Category</x:v>
      </x:c>
      <x:c r="F3" s="95" t="str">
        <x:v>Gate profile</x:v>
      </x:c>
    </x:row>
    <x:row r="4" ht="30" customHeight="1">
      <x:c r="A4" s="100" t="str">
        <x:v>00A</x:v>
      </x:c>
      <x:c r="B4" s="100" t="str">
        <x:v>00A_PETG_keyboard_profile_fit_tests.3mf</x:v>
      </x:c>
      <x:c r="C4" s="100" t="str">
        <x:v>plus4_machine_confirmed</x:v>
      </x:c>
      <x:c r="D4" s="100" t="str">
        <x:f>VLOOKUP(C4,'Compatibility Gates'!$A$4:$I$70,3,FALSE)</x:f>
        <x:v>PASS</x:v>
      </x:c>
      <x:c r="E4" s="100" t="str">
        <x:f>VLOOKUP(C4,'Compatibility Gates'!$A$4:$I$70,2,FALSE)</x:f>
        <x:v>machine</x:v>
      </x:c>
      <x:c r="F4" s="100" t="str">
        <x:f>VLOOKUP(C4,'Compatibility Gates'!$A$4:$I$70,4,FALSE)</x:f>
        <x:v>machine_configuration</x:v>
      </x:c>
    </x:row>
    <x:row r="5" ht="30" customHeight="1">
      <x:c r="A5" s="101" t="str">
        <x:v>00A</x:v>
      </x:c>
      <x:c r="B5" s="101" t="str">
        <x:v>00A_PETG_keyboard_profile_fit_tests.3mf</x:v>
      </x:c>
      <x:c r="C5" s="101" t="str">
        <x:v>nozzle_0p4_confirmed</x:v>
      </x:c>
      <x:c r="D5" s="101" t="str">
        <x:f>VLOOKUP(C5,'Compatibility Gates'!$A$4:$I$70,3,FALSE)</x:f>
        <x:v>NOT_TESTED</x:v>
      </x:c>
      <x:c r="E5" s="101" t="str">
        <x:f>VLOOKUP(C5,'Compatibility Gates'!$A$4:$I$70,2,FALSE)</x:f>
        <x:v>machine</x:v>
      </x:c>
      <x:c r="F5" s="101" t="str">
        <x:f>VLOOKUP(C5,'Compatibility Gates'!$A$4:$I$70,4,FALSE)</x:f>
        <x:v>machine_configuration</x:v>
      </x:c>
    </x:row>
    <x:row r="6" ht="30" customHeight="1">
      <x:c r="A6" s="101" t="str">
        <x:v>00A</x:v>
      </x:c>
      <x:c r="B6" s="101" t="str">
        <x:v>00A_PETG_keyboard_profile_fit_tests.3mf</x:v>
      </x:c>
      <x:c r="C6" s="101" t="str">
        <x:v>petg_tray_profile_calibrated</x:v>
      </x:c>
      <x:c r="D6" s="101" t="str">
        <x:f>VLOOKUP(C6,'Compatibility Gates'!$A$4:$I$70,3,FALSE)</x:f>
        <x:v>NOT_TESTED</x:v>
      </x:c>
      <x:c r="E6" s="101" t="str">
        <x:f>VLOOKUP(C6,'Compatibility Gates'!$A$4:$I$70,2,FALSE)</x:f>
        <x:v>material</x:v>
      </x:c>
      <x:c r="F6" s="101" t="str">
        <x:f>VLOOKUP(C6,'Compatibility Gates'!$A$4:$I$70,4,FALSE)</x:f>
        <x:v>petg_tray_structural_0p4</x:v>
      </x:c>
    </x:row>
    <x:row r="7" ht="30" customHeight="1">
      <x:c r="A7" s="101" t="str">
        <x:v>00B</x:v>
      </x:c>
      <x:c r="B7" s="101" t="str">
        <x:v>00B_PETG_phone_profile_fit_tests.3mf</x:v>
      </x:c>
      <x:c r="C7" s="101" t="str">
        <x:v>plus4_machine_confirmed</x:v>
      </x:c>
      <x:c r="D7" s="101" t="str">
        <x:f>VLOOKUP(C7,'Compatibility Gates'!$A$4:$I$70,3,FALSE)</x:f>
        <x:v>PASS</x:v>
      </x:c>
      <x:c r="E7" s="101" t="str">
        <x:f>VLOOKUP(C7,'Compatibility Gates'!$A$4:$I$70,2,FALSE)</x:f>
        <x:v>machine</x:v>
      </x:c>
      <x:c r="F7" s="101" t="str">
        <x:f>VLOOKUP(C7,'Compatibility Gates'!$A$4:$I$70,4,FALSE)</x:f>
        <x:v>machine_configuration</x:v>
      </x:c>
    </x:row>
    <x:row r="8" ht="30" customHeight="1">
      <x:c r="A8" s="101" t="str">
        <x:v>00B</x:v>
      </x:c>
      <x:c r="B8" s="101" t="str">
        <x:v>00B_PETG_phone_profile_fit_tests.3mf</x:v>
      </x:c>
      <x:c r="C8" s="101" t="str">
        <x:v>nozzle_0p4_confirmed</x:v>
      </x:c>
      <x:c r="D8" s="101" t="str">
        <x:f>VLOOKUP(C8,'Compatibility Gates'!$A$4:$I$70,3,FALSE)</x:f>
        <x:v>NOT_TESTED</x:v>
      </x:c>
      <x:c r="E8" s="101" t="str">
        <x:f>VLOOKUP(C8,'Compatibility Gates'!$A$4:$I$70,2,FALSE)</x:f>
        <x:v>machine</x:v>
      </x:c>
      <x:c r="F8" s="101" t="str">
        <x:f>VLOOKUP(C8,'Compatibility Gates'!$A$4:$I$70,4,FALSE)</x:f>
        <x:v>machine_configuration</x:v>
      </x:c>
    </x:row>
    <x:row r="9" ht="30" customHeight="1">
      <x:c r="A9" s="101" t="str">
        <x:v>00B</x:v>
      </x:c>
      <x:c r="B9" s="101" t="str">
        <x:v>00B_PETG_phone_profile_fit_tests.3mf</x:v>
      </x:c>
      <x:c r="C9" s="101" t="str">
        <x:v>petg_cradle_profile_calibrated</x:v>
      </x:c>
      <x:c r="D9" s="101" t="str">
        <x:f>VLOOKUP(C9,'Compatibility Gates'!$A$4:$I$70,3,FALSE)</x:f>
        <x:v>NOT_TESTED</x:v>
      </x:c>
      <x:c r="E9" s="101" t="str">
        <x:f>VLOOKUP(C9,'Compatibility Gates'!$A$4:$I$70,2,FALSE)</x:f>
        <x:v>material</x:v>
      </x:c>
      <x:c r="F9" s="101" t="str">
        <x:f>VLOOKUP(C9,'Compatibility Gates'!$A$4:$I$70,4,FALSE)</x:f>
        <x:v>petg_cradle_0p4</x:v>
      </x:c>
    </x:row>
    <x:row r="10" ht="30" customHeight="1">
      <x:c r="A10" s="101" t="str">
        <x:v>00C</x:v>
      </x:c>
      <x:c r="B10" s="101" t="str">
        <x:v>00C_PETG_tool_profile_fit_tests.3mf</x:v>
      </x:c>
      <x:c r="C10" s="101" t="str">
        <x:v>plus4_machine_confirmed</x:v>
      </x:c>
      <x:c r="D10" s="101" t="str">
        <x:f>VLOOKUP(C10,'Compatibility Gates'!$A$4:$I$70,3,FALSE)</x:f>
        <x:v>PASS</x:v>
      </x:c>
      <x:c r="E10" s="101" t="str">
        <x:f>VLOOKUP(C10,'Compatibility Gates'!$A$4:$I$70,2,FALSE)</x:f>
        <x:v>machine</x:v>
      </x:c>
      <x:c r="F10" s="101" t="str">
        <x:f>VLOOKUP(C10,'Compatibility Gates'!$A$4:$I$70,4,FALSE)</x:f>
        <x:v>machine_configuration</x:v>
      </x:c>
    </x:row>
    <x:row r="11" ht="30" customHeight="1">
      <x:c r="A11" s="101" t="str">
        <x:v>00C</x:v>
      </x:c>
      <x:c r="B11" s="101" t="str">
        <x:v>00C_PETG_tool_profile_fit_tests.3mf</x:v>
      </x:c>
      <x:c r="C11" s="101" t="str">
        <x:v>nozzle_0p4_confirmed</x:v>
      </x:c>
      <x:c r="D11" s="101" t="str">
        <x:f>VLOOKUP(C11,'Compatibility Gates'!$A$4:$I$70,3,FALSE)</x:f>
        <x:v>NOT_TESTED</x:v>
      </x:c>
      <x:c r="E11" s="101" t="str">
        <x:f>VLOOKUP(C11,'Compatibility Gates'!$A$4:$I$70,2,FALSE)</x:f>
        <x:v>machine</x:v>
      </x:c>
      <x:c r="F11" s="101" t="str">
        <x:f>VLOOKUP(C11,'Compatibility Gates'!$A$4:$I$70,4,FALSE)</x:f>
        <x:v>machine_configuration</x:v>
      </x:c>
    </x:row>
    <x:row r="12" ht="30" customHeight="1">
      <x:c r="A12" s="101" t="str">
        <x:v>00C</x:v>
      </x:c>
      <x:c r="B12" s="101" t="str">
        <x:v>00C_PETG_tool_profile_fit_tests.3mf</x:v>
      </x:c>
      <x:c r="C12" s="101" t="str">
        <x:v>petg_precision_profile_calibrated</x:v>
      </x:c>
      <x:c r="D12" s="101" t="str">
        <x:f>VLOOKUP(C12,'Compatibility Gates'!$A$4:$I$70,3,FALSE)</x:f>
        <x:v>NOT_TESTED</x:v>
      </x:c>
      <x:c r="E12" s="101" t="str">
        <x:f>VLOOKUP(C12,'Compatibility Gates'!$A$4:$I$70,2,FALSE)</x:f>
        <x:v>material</x:v>
      </x:c>
      <x:c r="F12" s="101" t="str">
        <x:f>VLOOKUP(C12,'Compatibility Gates'!$A$4:$I$70,4,FALSE)</x:f>
        <x:v>petg_precision_0p4</x:v>
      </x:c>
    </x:row>
    <x:row r="13" ht="30" customHeight="1">
      <x:c r="A13" s="101" t="str">
        <x:v>00D</x:v>
      </x:c>
      <x:c r="B13" s="101" t="str">
        <x:v>00D_PETG_adapter_profile_fit_tests.3mf</x:v>
      </x:c>
      <x:c r="C13" s="101" t="str">
        <x:v>plus4_machine_confirmed</x:v>
      </x:c>
      <x:c r="D13" s="101" t="str">
        <x:f>VLOOKUP(C13,'Compatibility Gates'!$A$4:$I$70,3,FALSE)</x:f>
        <x:v>PASS</x:v>
      </x:c>
      <x:c r="E13" s="101" t="str">
        <x:f>VLOOKUP(C13,'Compatibility Gates'!$A$4:$I$70,2,FALSE)</x:f>
        <x:v>machine</x:v>
      </x:c>
      <x:c r="F13" s="101" t="str">
        <x:f>VLOOKUP(C13,'Compatibility Gates'!$A$4:$I$70,4,FALSE)</x:f>
        <x:v>machine_configuration</x:v>
      </x:c>
    </x:row>
    <x:row r="14" ht="30" customHeight="1">
      <x:c r="A14" s="101" t="str">
        <x:v>00D</x:v>
      </x:c>
      <x:c r="B14" s="101" t="str">
        <x:v>00D_PETG_adapter_profile_fit_tests.3mf</x:v>
      </x:c>
      <x:c r="C14" s="101" t="str">
        <x:v>nozzle_0p4_confirmed</x:v>
      </x:c>
      <x:c r="D14" s="101" t="str">
        <x:f>VLOOKUP(C14,'Compatibility Gates'!$A$4:$I$70,3,FALSE)</x:f>
        <x:v>NOT_TESTED</x:v>
      </x:c>
      <x:c r="E14" s="101" t="str">
        <x:f>VLOOKUP(C14,'Compatibility Gates'!$A$4:$I$70,2,FALSE)</x:f>
        <x:v>machine</x:v>
      </x:c>
      <x:c r="F14" s="101" t="str">
        <x:f>VLOOKUP(C14,'Compatibility Gates'!$A$4:$I$70,4,FALSE)</x:f>
        <x:v>machine_configuration</x:v>
      </x:c>
    </x:row>
    <x:row r="15" ht="30" customHeight="1">
      <x:c r="A15" s="101" t="str">
        <x:v>00D</x:v>
      </x:c>
      <x:c r="B15" s="101" t="str">
        <x:v>00D_PETG_adapter_profile_fit_tests.3mf</x:v>
      </x:c>
      <x:c r="C15" s="101" t="str">
        <x:v>petg_adapter_profile_calibrated</x:v>
      </x:c>
      <x:c r="D15" s="101" t="str">
        <x:f>VLOOKUP(C15,'Compatibility Gates'!$A$4:$I$70,3,FALSE)</x:f>
        <x:v>NOT_TESTED</x:v>
      </x:c>
      <x:c r="E15" s="101" t="str">
        <x:f>VLOOKUP(C15,'Compatibility Gates'!$A$4:$I$70,2,FALSE)</x:f>
        <x:v>material</x:v>
      </x:c>
      <x:c r="F15" s="101" t="str">
        <x:f>VLOOKUP(C15,'Compatibility Gates'!$A$4:$I$70,4,FALSE)</x:f>
        <x:v>petg_adapter_0p4</x:v>
      </x:c>
    </x:row>
    <x:row r="16" ht="30" customHeight="1">
      <x:c r="A16" s="101" t="str">
        <x:v>00E</x:v>
      </x:c>
      <x:c r="B16" s="101" t="str">
        <x:v>00E_PETG_general_setup_tests.3mf</x:v>
      </x:c>
      <x:c r="C16" s="101" t="str">
        <x:v>plus4_machine_confirmed</x:v>
      </x:c>
      <x:c r="D16" s="101" t="str">
        <x:f>VLOOKUP(C16,'Compatibility Gates'!$A$4:$I$70,3,FALSE)</x:f>
        <x:v>PASS</x:v>
      </x:c>
      <x:c r="E16" s="101" t="str">
        <x:f>VLOOKUP(C16,'Compatibility Gates'!$A$4:$I$70,2,FALSE)</x:f>
        <x:v>machine</x:v>
      </x:c>
      <x:c r="F16" s="101" t="str">
        <x:f>VLOOKUP(C16,'Compatibility Gates'!$A$4:$I$70,4,FALSE)</x:f>
        <x:v>machine_configuration</x:v>
      </x:c>
    </x:row>
    <x:row r="17" ht="30" customHeight="1">
      <x:c r="A17" s="101" t="str">
        <x:v>00E</x:v>
      </x:c>
      <x:c r="B17" s="101" t="str">
        <x:v>00E_PETG_general_setup_tests.3mf</x:v>
      </x:c>
      <x:c r="C17" s="101" t="str">
        <x:v>nozzle_0p4_confirmed</x:v>
      </x:c>
      <x:c r="D17" s="101" t="str">
        <x:f>VLOOKUP(C17,'Compatibility Gates'!$A$4:$I$70,3,FALSE)</x:f>
        <x:v>NOT_TESTED</x:v>
      </x:c>
      <x:c r="E17" s="101" t="str">
        <x:f>VLOOKUP(C17,'Compatibility Gates'!$A$4:$I$70,2,FALSE)</x:f>
        <x:v>machine</x:v>
      </x:c>
      <x:c r="F17" s="101" t="str">
        <x:f>VLOOKUP(C17,'Compatibility Gates'!$A$4:$I$70,4,FALSE)</x:f>
        <x:v>machine_configuration</x:v>
      </x:c>
    </x:row>
    <x:row r="18" ht="30" customHeight="1">
      <x:c r="A18" s="101" t="str">
        <x:v>00E</x:v>
      </x:c>
      <x:c r="B18" s="101" t="str">
        <x:v>00E_PETG_general_setup_tests.3mf</x:v>
      </x:c>
      <x:c r="C18" s="101" t="str">
        <x:v>petg_general_profile_calibrated</x:v>
      </x:c>
      <x:c r="D18" s="101" t="str">
        <x:f>VLOOKUP(C18,'Compatibility Gates'!$A$4:$I$70,3,FALSE)</x:f>
        <x:v>NOT_TESTED</x:v>
      </x:c>
      <x:c r="E18" s="101" t="str">
        <x:f>VLOOKUP(C18,'Compatibility Gates'!$A$4:$I$70,2,FALSE)</x:f>
        <x:v>material</x:v>
      </x:c>
      <x:c r="F18" s="101" t="str">
        <x:f>VLOOKUP(C18,'Compatibility Gates'!$A$4:$I$70,4,FALSE)</x:f>
        <x:v>petg_general_0p4</x:v>
      </x:c>
    </x:row>
    <x:row r="19" ht="30" customHeight="1">
      <x:c r="A19" s="101" t="str">
        <x:v>00F</x:v>
      </x:c>
      <x:c r="B19" s="101" t="str">
        <x:v>00F_PETG_calibration_profile_clearance_test.3mf</x:v>
      </x:c>
      <x:c r="C19" s="101" t="str">
        <x:v>plus4_machine_confirmed</x:v>
      </x:c>
      <x:c r="D19" s="101" t="str">
        <x:f>VLOOKUP(C19,'Compatibility Gates'!$A$4:$I$70,3,FALSE)</x:f>
        <x:v>PASS</x:v>
      </x:c>
      <x:c r="E19" s="101" t="str">
        <x:f>VLOOKUP(C19,'Compatibility Gates'!$A$4:$I$70,2,FALSE)</x:f>
        <x:v>machine</x:v>
      </x:c>
      <x:c r="F19" s="101" t="str">
        <x:f>VLOOKUP(C19,'Compatibility Gates'!$A$4:$I$70,4,FALSE)</x:f>
        <x:v>machine_configuration</x:v>
      </x:c>
    </x:row>
    <x:row r="20" ht="30" customHeight="1">
      <x:c r="A20" s="101" t="str">
        <x:v>00F</x:v>
      </x:c>
      <x:c r="B20" s="101" t="str">
        <x:v>00F_PETG_calibration_profile_clearance_test.3mf</x:v>
      </x:c>
      <x:c r="C20" s="101" t="str">
        <x:v>nozzle_0p4_confirmed</x:v>
      </x:c>
      <x:c r="D20" s="101" t="str">
        <x:f>VLOOKUP(C20,'Compatibility Gates'!$A$4:$I$70,3,FALSE)</x:f>
        <x:v>NOT_TESTED</x:v>
      </x:c>
      <x:c r="E20" s="101" t="str">
        <x:f>VLOOKUP(C20,'Compatibility Gates'!$A$4:$I$70,2,FALSE)</x:f>
        <x:v>machine</x:v>
      </x:c>
      <x:c r="F20" s="101" t="str">
        <x:f>VLOOKUP(C20,'Compatibility Gates'!$A$4:$I$70,4,FALSE)</x:f>
        <x:v>machine_configuration</x:v>
      </x:c>
    </x:row>
    <x:row r="21" ht="30" customHeight="1">
      <x:c r="A21" s="101" t="str">
        <x:v>00F</x:v>
      </x:c>
      <x:c r="B21" s="101" t="str">
        <x:v>00F_PETG_calibration_profile_clearance_test.3mf</x:v>
      </x:c>
      <x:c r="C21" s="101" t="str">
        <x:v>petg_calibration_profile_calibrated</x:v>
      </x:c>
      <x:c r="D21" s="101" t="str">
        <x:f>VLOOKUP(C21,'Compatibility Gates'!$A$4:$I$70,3,FALSE)</x:f>
        <x:v>NOT_TESTED</x:v>
      </x:c>
      <x:c r="E21" s="101" t="str">
        <x:f>VLOOKUP(C21,'Compatibility Gates'!$A$4:$I$70,2,FALSE)</x:f>
        <x:v>material</x:v>
      </x:c>
      <x:c r="F21" s="101" t="str">
        <x:f>VLOOKUP(C21,'Compatibility Gates'!$A$4:$I$70,4,FALSE)</x:f>
        <x:v>petg_calibration_0p4</x:v>
      </x:c>
    </x:row>
    <x:row r="22" ht="30" customHeight="1">
      <x:c r="A22" s="101" t="str">
        <x:v>01</x:v>
      </x:c>
      <x:c r="B22" s="101" t="str">
        <x:v>01_PETG_keyboard_left.3mf</x:v>
      </x:c>
      <x:c r="C22" s="101" t="str">
        <x:v>plus4_machine_confirmed</x:v>
      </x:c>
      <x:c r="D22" s="101" t="str">
        <x:f>VLOOKUP(C22,'Compatibility Gates'!$A$4:$I$70,3,FALSE)</x:f>
        <x:v>PASS</x:v>
      </x:c>
      <x:c r="E22" s="101" t="str">
        <x:f>VLOOKUP(C22,'Compatibility Gates'!$A$4:$I$70,2,FALSE)</x:f>
        <x:v>machine</x:v>
      </x:c>
      <x:c r="F22" s="101" t="str">
        <x:f>VLOOKUP(C22,'Compatibility Gates'!$A$4:$I$70,4,FALSE)</x:f>
        <x:v>machine_configuration</x:v>
      </x:c>
    </x:row>
    <x:row r="23" ht="30" customHeight="1">
      <x:c r="A23" s="101" t="str">
        <x:v>01</x:v>
      </x:c>
      <x:c r="B23" s="101" t="str">
        <x:v>01_PETG_keyboard_left.3mf</x:v>
      </x:c>
      <x:c r="C23" s="101" t="str">
        <x:v>nozzle_0p4_confirmed</x:v>
      </x:c>
      <x:c r="D23" s="101" t="str">
        <x:f>VLOOKUP(C23,'Compatibility Gates'!$A$4:$I$70,3,FALSE)</x:f>
        <x:v>NOT_TESTED</x:v>
      </x:c>
      <x:c r="E23" s="101" t="str">
        <x:f>VLOOKUP(C23,'Compatibility Gates'!$A$4:$I$70,2,FALSE)</x:f>
        <x:v>machine</x:v>
      </x:c>
      <x:c r="F23" s="101" t="str">
        <x:f>VLOOKUP(C23,'Compatibility Gates'!$A$4:$I$70,4,FALSE)</x:f>
        <x:v>machine_configuration</x:v>
      </x:c>
    </x:row>
    <x:row r="24" ht="30" customHeight="1">
      <x:c r="A24" s="101" t="str">
        <x:v>01</x:v>
      </x:c>
      <x:c r="B24" s="101" t="str">
        <x:v>01_PETG_keyboard_left.3mf</x:v>
      </x:c>
      <x:c r="C24" s="101" t="str">
        <x:v>petg_tray_profile_calibrated</x:v>
      </x:c>
      <x:c r="D24" s="101" t="str">
        <x:f>VLOOKUP(C24,'Compatibility Gates'!$A$4:$I$70,3,FALSE)</x:f>
        <x:v>NOT_TESTED</x:v>
      </x:c>
      <x:c r="E24" s="101" t="str">
        <x:f>VLOOKUP(C24,'Compatibility Gates'!$A$4:$I$70,2,FALSE)</x:f>
        <x:v>material</x:v>
      </x:c>
      <x:c r="F24" s="101" t="str">
        <x:f>VLOOKUP(C24,'Compatibility Gates'!$A$4:$I$70,4,FALSE)</x:f>
        <x:v>petg_tray_structural_0p4</x:v>
      </x:c>
    </x:row>
    <x:row r="25" ht="30" customHeight="1">
      <x:c r="A25" s="101" t="str">
        <x:v>01</x:v>
      </x:c>
      <x:c r="B25" s="101" t="str">
        <x:v>01_PETG_keyboard_left.3mf</x:v>
      </x:c>
      <x:c r="C25" s="101" t="str">
        <x:v>keyboard_dimensions_measured</x:v>
      </x:c>
      <x:c r="D25" s="101" t="str">
        <x:f>VLOOKUP(C25,'Compatibility Gates'!$A$4:$I$70,3,FALSE)</x:f>
        <x:v>NOT_TESTED</x:v>
      </x:c>
      <x:c r="E25" s="101" t="str">
        <x:f>VLOOKUP(C25,'Compatibility Gates'!$A$4:$I$70,2,FALSE)</x:f>
        <x:v>measurement</x:v>
      </x:c>
      <x:c r="F25" s="101" t="str">
        <x:f>VLOOKUP(C25,'Compatibility Gates'!$A$4:$I$70,4,FALSE)</x:f>
        <x:v>geometry_input</x:v>
      </x:c>
    </x:row>
    <x:row r="26" ht="30" customHeight="1">
      <x:c r="A26" s="101" t="str">
        <x:v>01</x:v>
      </x:c>
      <x:c r="B26" s="101" t="str">
        <x:v>01_PETG_keyboard_left.3mf</x:v>
      </x:c>
      <x:c r="C26" s="101" t="str">
        <x:v>keyboard_corner_coupon_pass</x:v>
      </x:c>
      <x:c r="D26" s="101" t="str">
        <x:f>VLOOKUP(C26,'Compatibility Gates'!$A$4:$I$70,3,FALSE)</x:f>
        <x:v>NOT_TESTED</x:v>
      </x:c>
      <x:c r="E26" s="101" t="str">
        <x:f>VLOOKUP(C26,'Compatibility Gates'!$A$4:$I$70,2,FALSE)</x:f>
        <x:v>coupon</x:v>
      </x:c>
      <x:c r="F26" s="101" t="str">
        <x:f>VLOOKUP(C26,'Compatibility Gates'!$A$4:$I$70,4,FALSE)</x:f>
        <x:v>petg_tray_structural_0p4</x:v>
      </x:c>
    </x:row>
    <x:row r="27" ht="30" customHeight="1">
      <x:c r="A27" s="101" t="str">
        <x:v>01</x:v>
      </x:c>
      <x:c r="B27" s="101" t="str">
        <x:v>01_PETG_keyboard_left.3mf</x:v>
      </x:c>
      <x:c r="C27" s="101" t="str">
        <x:v>keyboard_seam_coupon_pass</x:v>
      </x:c>
      <x:c r="D27" s="101" t="str">
        <x:f>VLOOKUP(C27,'Compatibility Gates'!$A$4:$I$70,3,FALSE)</x:f>
        <x:v>NOT_TESTED</x:v>
      </x:c>
      <x:c r="E27" s="101" t="str">
        <x:f>VLOOKUP(C27,'Compatibility Gates'!$A$4:$I$70,2,FALSE)</x:f>
        <x:v>coupon</x:v>
      </x:c>
      <x:c r="F27" s="101" t="str">
        <x:f>VLOOKUP(C27,'Compatibility Gates'!$A$4:$I$70,4,FALSE)</x:f>
        <x:v>petg_tray_structural_0p4</x:v>
      </x:c>
    </x:row>
    <x:row r="28" ht="30" customHeight="1">
      <x:c r="A28" s="101" t="str">
        <x:v>01</x:v>
      </x:c>
      <x:c r="B28" s="101" t="str">
        <x:v>01_PETG_keyboard_left.3mf</x:v>
      </x:c>
      <x:c r="C28" s="101" t="str">
        <x:v>tray_clearance_holes_coupon_pass</x:v>
      </x:c>
      <x:c r="D28" s="101" t="str">
        <x:f>VLOOKUP(C28,'Compatibility Gates'!$A$4:$I$70,3,FALSE)</x:f>
        <x:v>NOT_TESTED</x:v>
      </x:c>
      <x:c r="E28" s="101" t="str">
        <x:f>VLOOKUP(C28,'Compatibility Gates'!$A$4:$I$70,2,FALSE)</x:f>
        <x:v>coupon</x:v>
      </x:c>
      <x:c r="F28" s="101" t="str">
        <x:f>VLOOKUP(C28,'Compatibility Gates'!$A$4:$I$70,4,FALSE)</x:f>
        <x:v>petg_tray_structural_0p4</x:v>
      </x:c>
    </x:row>
    <x:row r="29" ht="30" customHeight="1">
      <x:c r="A29" s="101" t="str">
        <x:v>01</x:v>
      </x:c>
      <x:c r="B29" s="101" t="str">
        <x:v>01_PETG_keyboard_left.3mf</x:v>
      </x:c>
      <x:c r="C29" s="101" t="str">
        <x:v>geometry_matches_measurements</x:v>
      </x:c>
      <x:c r="D29" s="101" t="str">
        <x:f>VLOOKUP(C29,'Compatibility Gates'!$A$4:$I$70,3,FALSE)</x:f>
        <x:v>NOT_TESTED</x:v>
      </x:c>
      <x:c r="E29" s="101" t="str">
        <x:f>VLOOKUP(C29,'Compatibility Gates'!$A$4:$I$70,2,FALSE)</x:f>
        <x:v>release</x:v>
      </x:c>
      <x:c r="F29" s="101" t="str">
        <x:f>VLOOKUP(C29,'Compatibility Gates'!$A$4:$I$70,4,FALSE)</x:f>
        <x:v>generated_geometry</x:v>
      </x:c>
    </x:row>
    <x:row r="30" ht="30" customHeight="1">
      <x:c r="A30" s="101" t="str">
        <x:v>01</x:v>
      </x:c>
      <x:c r="B30" s="101" t="str">
        <x:v>01_PETG_keyboard_left.3mf</x:v>
      </x:c>
      <x:c r="C30" s="101" t="str">
        <x:v>qidi_studio_roundtrip_confirmed</x:v>
      </x:c>
      <x:c r="D30" s="101" t="str">
        <x:f>VLOOKUP(C30,'Compatibility Gates'!$A$4:$I$70,3,FALSE)</x:f>
        <x:v>NOT_TESTED</x:v>
      </x:c>
      <x:c r="E30" s="101" t="str">
        <x:f>VLOOKUP(C30,'Compatibility Gates'!$A$4:$I$70,2,FALSE)</x:f>
        <x:v>release</x:v>
      </x:c>
      <x:c r="F30" s="101" t="str">
        <x:f>VLOOKUP(C30,'Compatibility Gates'!$A$4:$I$70,4,FALSE)</x:f>
        <x:v>all_active_profiles</x:v>
      </x:c>
    </x:row>
    <x:row r="31" ht="30" customHeight="1">
      <x:c r="A31" s="101" t="str">
        <x:v>02</x:v>
      </x:c>
      <x:c r="B31" s="101" t="str">
        <x:v>02_PETG_keyboard_right.3mf</x:v>
      </x:c>
      <x:c r="C31" s="101" t="str">
        <x:v>plus4_machine_confirmed</x:v>
      </x:c>
      <x:c r="D31" s="101" t="str">
        <x:f>VLOOKUP(C31,'Compatibility Gates'!$A$4:$I$70,3,FALSE)</x:f>
        <x:v>PASS</x:v>
      </x:c>
      <x:c r="E31" s="101" t="str">
        <x:f>VLOOKUP(C31,'Compatibility Gates'!$A$4:$I$70,2,FALSE)</x:f>
        <x:v>machine</x:v>
      </x:c>
      <x:c r="F31" s="101" t="str">
        <x:f>VLOOKUP(C31,'Compatibility Gates'!$A$4:$I$70,4,FALSE)</x:f>
        <x:v>machine_configuration</x:v>
      </x:c>
    </x:row>
    <x:row r="32" ht="30" customHeight="1">
      <x:c r="A32" s="101" t="str">
        <x:v>02</x:v>
      </x:c>
      <x:c r="B32" s="101" t="str">
        <x:v>02_PETG_keyboard_right.3mf</x:v>
      </x:c>
      <x:c r="C32" s="101" t="str">
        <x:v>nozzle_0p4_confirmed</x:v>
      </x:c>
      <x:c r="D32" s="101" t="str">
        <x:f>VLOOKUP(C32,'Compatibility Gates'!$A$4:$I$70,3,FALSE)</x:f>
        <x:v>NOT_TESTED</x:v>
      </x:c>
      <x:c r="E32" s="101" t="str">
        <x:f>VLOOKUP(C32,'Compatibility Gates'!$A$4:$I$70,2,FALSE)</x:f>
        <x:v>machine</x:v>
      </x:c>
      <x:c r="F32" s="101" t="str">
        <x:f>VLOOKUP(C32,'Compatibility Gates'!$A$4:$I$70,4,FALSE)</x:f>
        <x:v>machine_configuration</x:v>
      </x:c>
    </x:row>
    <x:row r="33" ht="30" customHeight="1">
      <x:c r="A33" s="101" t="str">
        <x:v>02</x:v>
      </x:c>
      <x:c r="B33" s="101" t="str">
        <x:v>02_PETG_keyboard_right.3mf</x:v>
      </x:c>
      <x:c r="C33" s="101" t="str">
        <x:v>petg_tray_profile_calibrated</x:v>
      </x:c>
      <x:c r="D33" s="101" t="str">
        <x:f>VLOOKUP(C33,'Compatibility Gates'!$A$4:$I$70,3,FALSE)</x:f>
        <x:v>NOT_TESTED</x:v>
      </x:c>
      <x:c r="E33" s="101" t="str">
        <x:f>VLOOKUP(C33,'Compatibility Gates'!$A$4:$I$70,2,FALSE)</x:f>
        <x:v>material</x:v>
      </x:c>
      <x:c r="F33" s="101" t="str">
        <x:f>VLOOKUP(C33,'Compatibility Gates'!$A$4:$I$70,4,FALSE)</x:f>
        <x:v>petg_tray_structural_0p4</x:v>
      </x:c>
    </x:row>
    <x:row r="34" ht="30" customHeight="1">
      <x:c r="A34" s="101" t="str">
        <x:v>02</x:v>
      </x:c>
      <x:c r="B34" s="101" t="str">
        <x:v>02_PETG_keyboard_right.3mf</x:v>
      </x:c>
      <x:c r="C34" s="101" t="str">
        <x:v>keyboard_dimensions_measured</x:v>
      </x:c>
      <x:c r="D34" s="101" t="str">
        <x:f>VLOOKUP(C34,'Compatibility Gates'!$A$4:$I$70,3,FALSE)</x:f>
        <x:v>NOT_TESTED</x:v>
      </x:c>
      <x:c r="E34" s="101" t="str">
        <x:f>VLOOKUP(C34,'Compatibility Gates'!$A$4:$I$70,2,FALSE)</x:f>
        <x:v>measurement</x:v>
      </x:c>
      <x:c r="F34" s="101" t="str">
        <x:f>VLOOKUP(C34,'Compatibility Gates'!$A$4:$I$70,4,FALSE)</x:f>
        <x:v>geometry_input</x:v>
      </x:c>
    </x:row>
    <x:row r="35" ht="30" customHeight="1">
      <x:c r="A35" s="101" t="str">
        <x:v>02</x:v>
      </x:c>
      <x:c r="B35" s="101" t="str">
        <x:v>02_PETG_keyboard_right.3mf</x:v>
      </x:c>
      <x:c r="C35" s="101" t="str">
        <x:v>keyboard_corner_coupon_pass</x:v>
      </x:c>
      <x:c r="D35" s="101" t="str">
        <x:f>VLOOKUP(C35,'Compatibility Gates'!$A$4:$I$70,3,FALSE)</x:f>
        <x:v>NOT_TESTED</x:v>
      </x:c>
      <x:c r="E35" s="101" t="str">
        <x:f>VLOOKUP(C35,'Compatibility Gates'!$A$4:$I$70,2,FALSE)</x:f>
        <x:v>coupon</x:v>
      </x:c>
      <x:c r="F35" s="101" t="str">
        <x:f>VLOOKUP(C35,'Compatibility Gates'!$A$4:$I$70,4,FALSE)</x:f>
        <x:v>petg_tray_structural_0p4</x:v>
      </x:c>
    </x:row>
    <x:row r="36" ht="30" customHeight="1">
      <x:c r="A36" s="101" t="str">
        <x:v>02</x:v>
      </x:c>
      <x:c r="B36" s="101" t="str">
        <x:v>02_PETG_keyboard_right.3mf</x:v>
      </x:c>
      <x:c r="C36" s="101" t="str">
        <x:v>keyboard_seam_coupon_pass</x:v>
      </x:c>
      <x:c r="D36" s="101" t="str">
        <x:f>VLOOKUP(C36,'Compatibility Gates'!$A$4:$I$70,3,FALSE)</x:f>
        <x:v>NOT_TESTED</x:v>
      </x:c>
      <x:c r="E36" s="101" t="str">
        <x:f>VLOOKUP(C36,'Compatibility Gates'!$A$4:$I$70,2,FALSE)</x:f>
        <x:v>coupon</x:v>
      </x:c>
      <x:c r="F36" s="101" t="str">
        <x:f>VLOOKUP(C36,'Compatibility Gates'!$A$4:$I$70,4,FALSE)</x:f>
        <x:v>petg_tray_structural_0p4</x:v>
      </x:c>
    </x:row>
    <x:row r="37" ht="30" customHeight="1">
      <x:c r="A37" s="101" t="str">
        <x:v>02</x:v>
      </x:c>
      <x:c r="B37" s="101" t="str">
        <x:v>02_PETG_keyboard_right.3mf</x:v>
      </x:c>
      <x:c r="C37" s="101" t="str">
        <x:v>tray_clearance_holes_coupon_pass</x:v>
      </x:c>
      <x:c r="D37" s="101" t="str">
        <x:f>VLOOKUP(C37,'Compatibility Gates'!$A$4:$I$70,3,FALSE)</x:f>
        <x:v>NOT_TESTED</x:v>
      </x:c>
      <x:c r="E37" s="101" t="str">
        <x:f>VLOOKUP(C37,'Compatibility Gates'!$A$4:$I$70,2,FALSE)</x:f>
        <x:v>coupon</x:v>
      </x:c>
      <x:c r="F37" s="101" t="str">
        <x:f>VLOOKUP(C37,'Compatibility Gates'!$A$4:$I$70,4,FALSE)</x:f>
        <x:v>petg_tray_structural_0p4</x:v>
      </x:c>
    </x:row>
    <x:row r="38" ht="30" customHeight="1">
      <x:c r="A38" s="101" t="str">
        <x:v>02</x:v>
      </x:c>
      <x:c r="B38" s="101" t="str">
        <x:v>02_PETG_keyboard_right.3mf</x:v>
      </x:c>
      <x:c r="C38" s="101" t="str">
        <x:v>geometry_matches_measurements</x:v>
      </x:c>
      <x:c r="D38" s="101" t="str">
        <x:f>VLOOKUP(C38,'Compatibility Gates'!$A$4:$I$70,3,FALSE)</x:f>
        <x:v>NOT_TESTED</x:v>
      </x:c>
      <x:c r="E38" s="101" t="str">
        <x:f>VLOOKUP(C38,'Compatibility Gates'!$A$4:$I$70,2,FALSE)</x:f>
        <x:v>release</x:v>
      </x:c>
      <x:c r="F38" s="101" t="str">
        <x:f>VLOOKUP(C38,'Compatibility Gates'!$A$4:$I$70,4,FALSE)</x:f>
        <x:v>generated_geometry</x:v>
      </x:c>
    </x:row>
    <x:row r="39" ht="30" customHeight="1">
      <x:c r="A39" s="101" t="str">
        <x:v>02</x:v>
      </x:c>
      <x:c r="B39" s="101" t="str">
        <x:v>02_PETG_keyboard_right.3mf</x:v>
      </x:c>
      <x:c r="C39" s="101" t="str">
        <x:v>keyboard_left_first_article_pass</x:v>
      </x:c>
      <x:c r="D39" s="101" t="str">
        <x:f>VLOOKUP(C39,'Compatibility Gates'!$A$4:$I$70,3,FALSE)</x:f>
        <x:v>NOT_TESTED</x:v>
      </x:c>
      <x:c r="E39" s="101" t="str">
        <x:f>VLOOKUP(C39,'Compatibility Gates'!$A$4:$I$70,2,FALSE)</x:f>
        <x:v>first_article</x:v>
      </x:c>
      <x:c r="F39" s="101" t="str">
        <x:f>VLOOKUP(C39,'Compatibility Gates'!$A$4:$I$70,4,FALSE)</x:f>
        <x:v>petg_tray_structural_0p4</x:v>
      </x:c>
    </x:row>
    <x:row r="40" ht="30" customHeight="1">
      <x:c r="A40" s="101" t="str">
        <x:v>02</x:v>
      </x:c>
      <x:c r="B40" s="101" t="str">
        <x:v>02_PETG_keyboard_right.3mf</x:v>
      </x:c>
      <x:c r="C40" s="101" t="str">
        <x:v>qidi_studio_roundtrip_confirmed</x:v>
      </x:c>
      <x:c r="D40" s="101" t="str">
        <x:f>VLOOKUP(C40,'Compatibility Gates'!$A$4:$I$70,3,FALSE)</x:f>
        <x:v>NOT_TESTED</x:v>
      </x:c>
      <x:c r="E40" s="101" t="str">
        <x:f>VLOOKUP(C40,'Compatibility Gates'!$A$4:$I$70,2,FALSE)</x:f>
        <x:v>release</x:v>
      </x:c>
      <x:c r="F40" s="101" t="str">
        <x:f>VLOOKUP(C40,'Compatibility Gates'!$A$4:$I$70,4,FALSE)</x:f>
        <x:v>all_active_profiles</x:v>
      </x:c>
    </x:row>
    <x:row r="41" ht="30" customHeight="1">
      <x:c r="A41" s="101" t="str">
        <x:v>03A</x:v>
      </x:c>
      <x:c r="B41" s="101" t="str">
        <x:v>03A_PETG_phone_cradle.3mf</x:v>
      </x:c>
      <x:c r="C41" s="101" t="str">
        <x:v>plus4_machine_confirmed</x:v>
      </x:c>
      <x:c r="D41" s="101" t="str">
        <x:f>VLOOKUP(C41,'Compatibility Gates'!$A$4:$I$70,3,FALSE)</x:f>
        <x:v>PASS</x:v>
      </x:c>
      <x:c r="E41" s="101" t="str">
        <x:f>VLOOKUP(C41,'Compatibility Gates'!$A$4:$I$70,2,FALSE)</x:f>
        <x:v>machine</x:v>
      </x:c>
      <x:c r="F41" s="101" t="str">
        <x:f>VLOOKUP(C41,'Compatibility Gates'!$A$4:$I$70,4,FALSE)</x:f>
        <x:v>machine_configuration</x:v>
      </x:c>
    </x:row>
    <x:row r="42" ht="30" customHeight="1">
      <x:c r="A42" s="101" t="str">
        <x:v>03A</x:v>
      </x:c>
      <x:c r="B42" s="101" t="str">
        <x:v>03A_PETG_phone_cradle.3mf</x:v>
      </x:c>
      <x:c r="C42" s="101" t="str">
        <x:v>nozzle_0p4_confirmed</x:v>
      </x:c>
      <x:c r="D42" s="101" t="str">
        <x:f>VLOOKUP(C42,'Compatibility Gates'!$A$4:$I$70,3,FALSE)</x:f>
        <x:v>NOT_TESTED</x:v>
      </x:c>
      <x:c r="E42" s="101" t="str">
        <x:f>VLOOKUP(C42,'Compatibility Gates'!$A$4:$I$70,2,FALSE)</x:f>
        <x:v>machine</x:v>
      </x:c>
      <x:c r="F42" s="101" t="str">
        <x:f>VLOOKUP(C42,'Compatibility Gates'!$A$4:$I$70,4,FALSE)</x:f>
        <x:v>machine_configuration</x:v>
      </x:c>
    </x:row>
    <x:row r="43" ht="30" customHeight="1">
      <x:c r="A43" s="101" t="str">
        <x:v>03A</x:v>
      </x:c>
      <x:c r="B43" s="101" t="str">
        <x:v>03A_PETG_phone_cradle.3mf</x:v>
      </x:c>
      <x:c r="C43" s="101" t="str">
        <x:v>petg_cradle_profile_calibrated</x:v>
      </x:c>
      <x:c r="D43" s="101" t="str">
        <x:f>VLOOKUP(C43,'Compatibility Gates'!$A$4:$I$70,3,FALSE)</x:f>
        <x:v>NOT_TESTED</x:v>
      </x:c>
      <x:c r="E43" s="101" t="str">
        <x:f>VLOOKUP(C43,'Compatibility Gates'!$A$4:$I$70,2,FALSE)</x:f>
        <x:v>material</x:v>
      </x:c>
      <x:c r="F43" s="101" t="str">
        <x:f>VLOOKUP(C43,'Compatibility Gates'!$A$4:$I$70,4,FALSE)</x:f>
        <x:v>petg_cradle_0p4</x:v>
      </x:c>
    </x:row>
    <x:row r="44" ht="30" customHeight="1">
      <x:c r="A44" s="101" t="str">
        <x:v>03A</x:v>
      </x:c>
      <x:c r="B44" s="101" t="str">
        <x:v>03A_PETG_phone_cradle.3mf</x:v>
      </x:c>
      <x:c r="C44" s="101" t="str">
        <x:v>phone_dimensions_measured</x:v>
      </x:c>
      <x:c r="D44" s="101" t="str">
        <x:f>VLOOKUP(C44,'Compatibility Gates'!$A$4:$I$70,3,FALSE)</x:f>
        <x:v>NOT_TESTED</x:v>
      </x:c>
      <x:c r="E44" s="101" t="str">
        <x:f>VLOOKUP(C44,'Compatibility Gates'!$A$4:$I$70,2,FALSE)</x:f>
        <x:v>measurement</x:v>
      </x:c>
      <x:c r="F44" s="101" t="str">
        <x:f>VLOOKUP(C44,'Compatibility Gates'!$A$4:$I$70,4,FALSE)</x:f>
        <x:v>geometry_input</x:v>
      </x:c>
    </x:row>
    <x:row r="45" ht="30" customHeight="1">
      <x:c r="A45" s="101" t="str">
        <x:v>03A</x:v>
      </x:c>
      <x:c r="B45" s="101" t="str">
        <x:v>03A_PETG_phone_cradle.3mf</x:v>
      </x:c>
      <x:c r="C45" s="101" t="str">
        <x:v>phone_side_features_measured</x:v>
      </x:c>
      <x:c r="D45" s="101" t="str">
        <x:f>VLOOKUP(C45,'Compatibility Gates'!$A$4:$I$70,3,FALSE)</x:f>
        <x:v>NOT_TESTED</x:v>
      </x:c>
      <x:c r="E45" s="101" t="str">
        <x:f>VLOOKUP(C45,'Compatibility Gates'!$A$4:$I$70,2,FALSE)</x:f>
        <x:v>measurement</x:v>
      </x:c>
      <x:c r="F45" s="101" t="str">
        <x:f>VLOOKUP(C45,'Compatibility Gates'!$A$4:$I$70,4,FALSE)</x:f>
        <x:v>geometry_input</x:v>
      </x:c>
    </x:row>
    <x:row r="46" ht="30" customHeight="1">
      <x:c r="A46" s="101" t="str">
        <x:v>03A</x:v>
      </x:c>
      <x:c r="B46" s="101" t="str">
        <x:v>03A_PETG_phone_cradle.3mf</x:v>
      </x:c>
      <x:c r="C46" s="101" t="str">
        <x:v>phone_cable_measured</x:v>
      </x:c>
      <x:c r="D46" s="101" t="str">
        <x:f>VLOOKUP(C46,'Compatibility Gates'!$A$4:$I$70,3,FALSE)</x:f>
        <x:v>NOT_TESTED</x:v>
      </x:c>
      <x:c r="E46" s="101" t="str">
        <x:f>VLOOKUP(C46,'Compatibility Gates'!$A$4:$I$70,2,FALSE)</x:f>
        <x:v>measurement</x:v>
      </x:c>
      <x:c r="F46" s="101" t="str">
        <x:f>VLOOKUP(C46,'Compatibility Gates'!$A$4:$I$70,4,FALSE)</x:f>
        <x:v>geometry_input</x:v>
      </x:c>
    </x:row>
    <x:row r="47" ht="30" customHeight="1">
      <x:c r="A47" s="101" t="str">
        <x:v>03A</x:v>
      </x:c>
      <x:c r="B47" s="101" t="str">
        <x:v>03A_PETG_phone_cradle.3mf</x:v>
      </x:c>
      <x:c r="C47" s="101" t="str">
        <x:v>phone_width_coupon_pass</x:v>
      </x:c>
      <x:c r="D47" s="101" t="str">
        <x:f>VLOOKUP(C47,'Compatibility Gates'!$A$4:$I$70,3,FALSE)</x:f>
        <x:v>NOT_TESTED</x:v>
      </x:c>
      <x:c r="E47" s="101" t="str">
        <x:f>VLOOKUP(C47,'Compatibility Gates'!$A$4:$I$70,2,FALSE)</x:f>
        <x:v>coupon</x:v>
      </x:c>
      <x:c r="F47" s="101" t="str">
        <x:f>VLOOKUP(C47,'Compatibility Gates'!$A$4:$I$70,4,FALSE)</x:f>
        <x:v>petg_cradle_0p4</x:v>
      </x:c>
    </x:row>
    <x:row r="48" ht="30" customHeight="1">
      <x:c r="A48" s="101" t="str">
        <x:v>03A</x:v>
      </x:c>
      <x:c r="B48" s="101" t="str">
        <x:v>03A_PETG_phone_cradle.3mf</x:v>
      </x:c>
      <x:c r="C48" s="101" t="str">
        <x:v>m4_horizontal_insert_coupon_pass</x:v>
      </x:c>
      <x:c r="D48" s="101" t="str">
        <x:f>VLOOKUP(C48,'Compatibility Gates'!$A$4:$I$70,3,FALSE)</x:f>
        <x:v>NOT_TESTED</x:v>
      </x:c>
      <x:c r="E48" s="101" t="str">
        <x:f>VLOOKUP(C48,'Compatibility Gates'!$A$4:$I$70,2,FALSE)</x:f>
        <x:v>coupon</x:v>
      </x:c>
      <x:c r="F48" s="101" t="str">
        <x:f>VLOOKUP(C48,'Compatibility Gates'!$A$4:$I$70,4,FALSE)</x:f>
        <x:v>petg_cradle_0p4</x:v>
      </x:c>
    </x:row>
    <x:row r="49" ht="30" customHeight="1">
      <x:c r="A49" s="101" t="str">
        <x:v>03A</x:v>
      </x:c>
      <x:c r="B49" s="101" t="str">
        <x:v>03A_PETG_phone_cradle.3mf</x:v>
      </x:c>
      <x:c r="C49" s="101" t="str">
        <x:v>cable_tie_saddle_coupon_pass</x:v>
      </x:c>
      <x:c r="D49" s="101" t="str">
        <x:f>VLOOKUP(C49,'Compatibility Gates'!$A$4:$I$70,3,FALSE)</x:f>
        <x:v>NOT_TESTED</x:v>
      </x:c>
      <x:c r="E49" s="101" t="str">
        <x:f>VLOOKUP(C49,'Compatibility Gates'!$A$4:$I$70,2,FALSE)</x:f>
        <x:v>coupon</x:v>
      </x:c>
      <x:c r="F49" s="101" t="str">
        <x:f>VLOOKUP(C49,'Compatibility Gates'!$A$4:$I$70,4,FALSE)</x:f>
        <x:v>petg_cradle_0p4</x:v>
      </x:c>
    </x:row>
    <x:row r="50" ht="30" customHeight="1">
      <x:c r="A50" s="101" t="str">
        <x:v>03A</x:v>
      </x:c>
      <x:c r="B50" s="101" t="str">
        <x:v>03A_PETG_phone_cradle.3mf</x:v>
      </x:c>
      <x:c r="C50" s="101" t="str">
        <x:v>cradle_m4_washer_coupon_pass</x:v>
      </x:c>
      <x:c r="D50" s="101" t="str">
        <x:f>VLOOKUP(C50,'Compatibility Gates'!$A$4:$I$70,3,FALSE)</x:f>
        <x:v>NOT_TESTED</x:v>
      </x:c>
      <x:c r="E50" s="101" t="str">
        <x:f>VLOOKUP(C50,'Compatibility Gates'!$A$4:$I$70,2,FALSE)</x:f>
        <x:v>coupon</x:v>
      </x:c>
      <x:c r="F50" s="101" t="str">
        <x:f>VLOOKUP(C50,'Compatibility Gates'!$A$4:$I$70,4,FALSE)</x:f>
        <x:v>petg_cradle_0p4</x:v>
      </x:c>
    </x:row>
    <x:row r="51" ht="30" customHeight="1">
      <x:c r="A51" s="101" t="str">
        <x:v>03A</x:v>
      </x:c>
      <x:c r="B51" s="101" t="str">
        <x:v>03A_PETG_phone_cradle.3mf</x:v>
      </x:c>
      <x:c r="C51" s="101" t="str">
        <x:v>geometry_matches_measurements</x:v>
      </x:c>
      <x:c r="D51" s="101" t="str">
        <x:f>VLOOKUP(C51,'Compatibility Gates'!$A$4:$I$70,3,FALSE)</x:f>
        <x:v>NOT_TESTED</x:v>
      </x:c>
      <x:c r="E51" s="101" t="str">
        <x:f>VLOOKUP(C51,'Compatibility Gates'!$A$4:$I$70,2,FALSE)</x:f>
        <x:v>release</x:v>
      </x:c>
      <x:c r="F51" s="101" t="str">
        <x:f>VLOOKUP(C51,'Compatibility Gates'!$A$4:$I$70,4,FALSE)</x:f>
        <x:v>generated_geometry</x:v>
      </x:c>
    </x:row>
    <x:row r="52" ht="30" customHeight="1">
      <x:c r="A52" s="101" t="str">
        <x:v>03A</x:v>
      </x:c>
      <x:c r="B52" s="101" t="str">
        <x:v>03A_PETG_phone_cradle.3mf</x:v>
      </x:c>
      <x:c r="C52" s="101" t="str">
        <x:v>qidi_studio_roundtrip_confirmed</x:v>
      </x:c>
      <x:c r="D52" s="101" t="str">
        <x:f>VLOOKUP(C52,'Compatibility Gates'!$A$4:$I$70,3,FALSE)</x:f>
        <x:v>NOT_TESTED</x:v>
      </x:c>
      <x:c r="E52" s="101" t="str">
        <x:f>VLOOKUP(C52,'Compatibility Gates'!$A$4:$I$70,2,FALSE)</x:f>
        <x:v>release</x:v>
      </x:c>
      <x:c r="F52" s="101" t="str">
        <x:f>VLOOKUP(C52,'Compatibility Gates'!$A$4:$I$70,4,FALSE)</x:f>
        <x:v>all_active_profiles</x:v>
      </x:c>
    </x:row>
    <x:row r="53" ht="30" customHeight="1">
      <x:c r="A53" s="101" t="str">
        <x:v>03B</x:v>
      </x:c>
      <x:c r="B53" s="101" t="str">
        <x:v>03B_PETG_keyboard_clamps.3mf</x:v>
      </x:c>
      <x:c r="C53" s="101" t="str">
        <x:v>plus4_machine_confirmed</x:v>
      </x:c>
      <x:c r="D53" s="101" t="str">
        <x:f>VLOOKUP(C53,'Compatibility Gates'!$A$4:$I$70,3,FALSE)</x:f>
        <x:v>PASS</x:v>
      </x:c>
      <x:c r="E53" s="101" t="str">
        <x:f>VLOOKUP(C53,'Compatibility Gates'!$A$4:$I$70,2,FALSE)</x:f>
        <x:v>machine</x:v>
      </x:c>
      <x:c r="F53" s="101" t="str">
        <x:f>VLOOKUP(C53,'Compatibility Gates'!$A$4:$I$70,4,FALSE)</x:f>
        <x:v>machine_configuration</x:v>
      </x:c>
    </x:row>
    <x:row r="54" ht="30" customHeight="1">
      <x:c r="A54" s="101" t="str">
        <x:v>03B</x:v>
      </x:c>
      <x:c r="B54" s="101" t="str">
        <x:v>03B_PETG_keyboard_clamps.3mf</x:v>
      </x:c>
      <x:c r="C54" s="101" t="str">
        <x:v>nozzle_0p4_confirmed</x:v>
      </x:c>
      <x:c r="D54" s="101" t="str">
        <x:f>VLOOKUP(C54,'Compatibility Gates'!$A$4:$I$70,3,FALSE)</x:f>
        <x:v>NOT_TESTED</x:v>
      </x:c>
      <x:c r="E54" s="101" t="str">
        <x:f>VLOOKUP(C54,'Compatibility Gates'!$A$4:$I$70,2,FALSE)</x:f>
        <x:v>machine</x:v>
      </x:c>
      <x:c r="F54" s="101" t="str">
        <x:f>VLOOKUP(C54,'Compatibility Gates'!$A$4:$I$70,4,FALSE)</x:f>
        <x:v>machine_configuration</x:v>
      </x:c>
    </x:row>
    <x:row r="55" ht="30" customHeight="1">
      <x:c r="A55" s="101" t="str">
        <x:v>03B</x:v>
      </x:c>
      <x:c r="B55" s="101" t="str">
        <x:v>03B_PETG_keyboard_clamps.3mf</x:v>
      </x:c>
      <x:c r="C55" s="101" t="str">
        <x:v>petg_general_profile_calibrated</x:v>
      </x:c>
      <x:c r="D55" s="101" t="str">
        <x:f>VLOOKUP(C55,'Compatibility Gates'!$A$4:$I$70,3,FALSE)</x:f>
        <x:v>NOT_TESTED</x:v>
      </x:c>
      <x:c r="E55" s="101" t="str">
        <x:f>VLOOKUP(C55,'Compatibility Gates'!$A$4:$I$70,2,FALSE)</x:f>
        <x:v>material</x:v>
      </x:c>
      <x:c r="F55" s="101" t="str">
        <x:f>VLOOKUP(C55,'Compatibility Gates'!$A$4:$I$70,4,FALSE)</x:f>
        <x:v>petg_general_0p4</x:v>
      </x:c>
    </x:row>
    <x:row r="56" ht="30" customHeight="1">
      <x:c r="A56" s="101" t="str">
        <x:v>03B</x:v>
      </x:c>
      <x:c r="B56" s="101" t="str">
        <x:v>03B_PETG_keyboard_clamps.3mf</x:v>
      </x:c>
      <x:c r="C56" s="101" t="str">
        <x:v>keyboard_dimensions_measured</x:v>
      </x:c>
      <x:c r="D56" s="101" t="str">
        <x:f>VLOOKUP(C56,'Compatibility Gates'!$A$4:$I$70,3,FALSE)</x:f>
        <x:v>NOT_TESTED</x:v>
      </x:c>
      <x:c r="E56" s="101" t="str">
        <x:f>VLOOKUP(C56,'Compatibility Gates'!$A$4:$I$70,2,FALSE)</x:f>
        <x:v>measurement</x:v>
      </x:c>
      <x:c r="F56" s="101" t="str">
        <x:f>VLOOKUP(C56,'Compatibility Gates'!$A$4:$I$70,4,FALSE)</x:f>
        <x:v>geometry_input</x:v>
      </x:c>
    </x:row>
    <x:row r="57" ht="30" customHeight="1">
      <x:c r="A57" s="101" t="str">
        <x:v>03B</x:v>
      </x:c>
      <x:c r="B57" s="101" t="str">
        <x:v>03B_PETG_keyboard_clamps.3mf</x:v>
      </x:c>
      <x:c r="C57" s="101" t="str">
        <x:v>keyboard_corner_coupon_pass</x:v>
      </x:c>
      <x:c r="D57" s="101" t="str">
        <x:f>VLOOKUP(C57,'Compatibility Gates'!$A$4:$I$70,3,FALSE)</x:f>
        <x:v>NOT_TESTED</x:v>
      </x:c>
      <x:c r="E57" s="101" t="str">
        <x:f>VLOOKUP(C57,'Compatibility Gates'!$A$4:$I$70,2,FALSE)</x:f>
        <x:v>coupon</x:v>
      </x:c>
      <x:c r="F57" s="101" t="str">
        <x:f>VLOOKUP(C57,'Compatibility Gates'!$A$4:$I$70,4,FALSE)</x:f>
        <x:v>petg_tray_structural_0p4</x:v>
      </x:c>
    </x:row>
    <x:row r="58" ht="30" customHeight="1">
      <x:c r="A58" s="101" t="str">
        <x:v>03B</x:v>
      </x:c>
      <x:c r="B58" s="101" t="str">
        <x:v>03B_PETG_keyboard_clamps.3mf</x:v>
      </x:c>
      <x:c r="C58" s="101" t="str">
        <x:v>general_clearance_holes_coupon_pass</x:v>
      </x:c>
      <x:c r="D58" s="101" t="str">
        <x:f>VLOOKUP(C58,'Compatibility Gates'!$A$4:$I$70,3,FALSE)</x:f>
        <x:v>NOT_TESTED</x:v>
      </x:c>
      <x:c r="E58" s="101" t="str">
        <x:f>VLOOKUP(C58,'Compatibility Gates'!$A$4:$I$70,2,FALSE)</x:f>
        <x:v>coupon</x:v>
      </x:c>
      <x:c r="F58" s="101" t="str">
        <x:f>VLOOKUP(C58,'Compatibility Gates'!$A$4:$I$70,4,FALSE)</x:f>
        <x:v>petg_general_0p4</x:v>
      </x:c>
    </x:row>
    <x:row r="59" ht="30" customHeight="1">
      <x:c r="A59" s="101" t="str">
        <x:v>03B</x:v>
      </x:c>
      <x:c r="B59" s="101" t="str">
        <x:v>03B_PETG_keyboard_clamps.3mf</x:v>
      </x:c>
      <x:c r="C59" s="101" t="str">
        <x:v>setup_hardware_coupon_pass</x:v>
      </x:c>
      <x:c r="D59" s="101" t="str">
        <x:f>VLOOKUP(C59,'Compatibility Gates'!$A$4:$I$70,3,FALSE)</x:f>
        <x:v>NOT_TESTED</x:v>
      </x:c>
      <x:c r="E59" s="101" t="str">
        <x:f>VLOOKUP(C59,'Compatibility Gates'!$A$4:$I$70,2,FALSE)</x:f>
        <x:v>coupon</x:v>
      </x:c>
      <x:c r="F59" s="101" t="str">
        <x:f>VLOOKUP(C59,'Compatibility Gates'!$A$4:$I$70,4,FALSE)</x:f>
        <x:v>petg_general_0p4</x:v>
      </x:c>
    </x:row>
    <x:row r="60" ht="30" customHeight="1">
      <x:c r="A60" s="101" t="str">
        <x:v>03B</x:v>
      </x:c>
      <x:c r="B60" s="101" t="str">
        <x:v>03B_PETG_keyboard_clamps.3mf</x:v>
      </x:c>
      <x:c r="C60" s="101" t="str">
        <x:v>geometry_matches_measurements</x:v>
      </x:c>
      <x:c r="D60" s="101" t="str">
        <x:f>VLOOKUP(C60,'Compatibility Gates'!$A$4:$I$70,3,FALSE)</x:f>
        <x:v>NOT_TESTED</x:v>
      </x:c>
      <x:c r="E60" s="101" t="str">
        <x:f>VLOOKUP(C60,'Compatibility Gates'!$A$4:$I$70,2,FALSE)</x:f>
        <x:v>release</x:v>
      </x:c>
      <x:c r="F60" s="101" t="str">
        <x:f>VLOOKUP(C60,'Compatibility Gates'!$A$4:$I$70,4,FALSE)</x:f>
        <x:v>generated_geometry</x:v>
      </x:c>
    </x:row>
    <x:row r="61" ht="30" customHeight="1">
      <x:c r="A61" s="101" t="str">
        <x:v>03B</x:v>
      </x:c>
      <x:c r="B61" s="101" t="str">
        <x:v>03B_PETG_keyboard_clamps.3mf</x:v>
      </x:c>
      <x:c r="C61" s="101" t="str">
        <x:v>qidi_studio_roundtrip_confirmed</x:v>
      </x:c>
      <x:c r="D61" s="101" t="str">
        <x:f>VLOOKUP(C61,'Compatibility Gates'!$A$4:$I$70,3,FALSE)</x:f>
        <x:v>NOT_TESTED</x:v>
      </x:c>
      <x:c r="E61" s="101" t="str">
        <x:f>VLOOKUP(C61,'Compatibility Gates'!$A$4:$I$70,2,FALSE)</x:f>
        <x:v>release</x:v>
      </x:c>
      <x:c r="F61" s="101" t="str">
        <x:f>VLOOKUP(C61,'Compatibility Gates'!$A$4:$I$70,4,FALSE)</x:f>
        <x:v>all_active_profiles</x:v>
      </x:c>
    </x:row>
    <x:row r="62" ht="30" customHeight="1">
      <x:c r="A62" s="101" t="str">
        <x:v>03C1</x:v>
      </x:c>
      <x:c r="B62" s="101" t="str">
        <x:v>03C1_PETG_tag_frame_first_article.3mf</x:v>
      </x:c>
      <x:c r="C62" s="101" t="str">
        <x:v>plus4_machine_confirmed</x:v>
      </x:c>
      <x:c r="D62" s="101" t="str">
        <x:f>VLOOKUP(C62,'Compatibility Gates'!$A$4:$I$70,3,FALSE)</x:f>
        <x:v>PASS</x:v>
      </x:c>
      <x:c r="E62" s="101" t="str">
        <x:f>VLOOKUP(C62,'Compatibility Gates'!$A$4:$I$70,2,FALSE)</x:f>
        <x:v>machine</x:v>
      </x:c>
      <x:c r="F62" s="101" t="str">
        <x:f>VLOOKUP(C62,'Compatibility Gates'!$A$4:$I$70,4,FALSE)</x:f>
        <x:v>machine_configuration</x:v>
      </x:c>
    </x:row>
    <x:row r="63" ht="30" customHeight="1">
      <x:c r="A63" s="101" t="str">
        <x:v>03C1</x:v>
      </x:c>
      <x:c r="B63" s="101" t="str">
        <x:v>03C1_PETG_tag_frame_first_article.3mf</x:v>
      </x:c>
      <x:c r="C63" s="101" t="str">
        <x:v>nozzle_0p4_confirmed</x:v>
      </x:c>
      <x:c r="D63" s="101" t="str">
        <x:f>VLOOKUP(C63,'Compatibility Gates'!$A$4:$I$70,3,FALSE)</x:f>
        <x:v>NOT_TESTED</x:v>
      </x:c>
      <x:c r="E63" s="101" t="str">
        <x:f>VLOOKUP(C63,'Compatibility Gates'!$A$4:$I$70,2,FALSE)</x:f>
        <x:v>machine</x:v>
      </x:c>
      <x:c r="F63" s="101" t="str">
        <x:f>VLOOKUP(C63,'Compatibility Gates'!$A$4:$I$70,4,FALSE)</x:f>
        <x:v>machine_configuration</x:v>
      </x:c>
    </x:row>
    <x:row r="64" ht="30" customHeight="1">
      <x:c r="A64" s="101" t="str">
        <x:v>03C1</x:v>
      </x:c>
      <x:c r="B64" s="101" t="str">
        <x:v>03C1_PETG_tag_frame_first_article.3mf</x:v>
      </x:c>
      <x:c r="C64" s="101" t="str">
        <x:v>petg_general_profile_calibrated</x:v>
      </x:c>
      <x:c r="D64" s="101" t="str">
        <x:f>VLOOKUP(C64,'Compatibility Gates'!$A$4:$I$70,3,FALSE)</x:f>
        <x:v>NOT_TESTED</x:v>
      </x:c>
      <x:c r="E64" s="101" t="str">
        <x:f>VLOOKUP(C64,'Compatibility Gates'!$A$4:$I$70,2,FALSE)</x:f>
        <x:v>material</x:v>
      </x:c>
      <x:c r="F64" s="101" t="str">
        <x:f>VLOOKUP(C64,'Compatibility Gates'!$A$4:$I$70,4,FALSE)</x:f>
        <x:v>petg_general_0p4</x:v>
      </x:c>
    </x:row>
    <x:row r="65" ht="30" customHeight="1">
      <x:c r="A65" s="101" t="str">
        <x:v>03C1</x:v>
      </x:c>
      <x:c r="B65" s="101" t="str">
        <x:v>03C1_PETG_tag_frame_first_article.3mf</x:v>
      </x:c>
      <x:c r="C65" s="101" t="str">
        <x:v>tag_stock_measured</x:v>
      </x:c>
      <x:c r="D65" s="101" t="str">
        <x:f>VLOOKUP(C65,'Compatibility Gates'!$A$4:$I$70,3,FALSE)</x:f>
        <x:v>NOT_TESTED</x:v>
      </x:c>
      <x:c r="E65" s="101" t="str">
        <x:f>VLOOKUP(C65,'Compatibility Gates'!$A$4:$I$70,2,FALSE)</x:f>
        <x:v>measurement</x:v>
      </x:c>
      <x:c r="F65" s="101" t="str">
        <x:f>VLOOKUP(C65,'Compatibility Gates'!$A$4:$I$70,4,FALSE)</x:f>
        <x:v>geometry_input</x:v>
      </x:c>
    </x:row>
    <x:row r="66" ht="30" customHeight="1">
      <x:c r="A66" s="101" t="str">
        <x:v>03C1</x:v>
      </x:c>
      <x:c r="B66" s="101" t="str">
        <x:v>03C1_PETG_tag_frame_first_article.3mf</x:v>
      </x:c>
      <x:c r="C66" s="101" t="str">
        <x:v>general_clearance_holes_coupon_pass</x:v>
      </x:c>
      <x:c r="D66" s="101" t="str">
        <x:f>VLOOKUP(C66,'Compatibility Gates'!$A$4:$I$70,3,FALSE)</x:f>
        <x:v>NOT_TESTED</x:v>
      </x:c>
      <x:c r="E66" s="101" t="str">
        <x:f>VLOOKUP(C66,'Compatibility Gates'!$A$4:$I$70,2,FALSE)</x:f>
        <x:v>coupon</x:v>
      </x:c>
      <x:c r="F66" s="101" t="str">
        <x:f>VLOOKUP(C66,'Compatibility Gates'!$A$4:$I$70,4,FALSE)</x:f>
        <x:v>petg_general_0p4</x:v>
      </x:c>
    </x:row>
    <x:row r="67" ht="30" customHeight="1">
      <x:c r="A67" s="101" t="str">
        <x:v>03C1</x:v>
      </x:c>
      <x:c r="B67" s="101" t="str">
        <x:v>03C1_PETG_tag_frame_first_article.3mf</x:v>
      </x:c>
      <x:c r="C67" s="101" t="str">
        <x:v>setup_hardware_coupon_pass</x:v>
      </x:c>
      <x:c r="D67" s="101" t="str">
        <x:f>VLOOKUP(C67,'Compatibility Gates'!$A$4:$I$70,3,FALSE)</x:f>
        <x:v>NOT_TESTED</x:v>
      </x:c>
      <x:c r="E67" s="101" t="str">
        <x:f>VLOOKUP(C67,'Compatibility Gates'!$A$4:$I$70,2,FALSE)</x:f>
        <x:v>coupon</x:v>
      </x:c>
      <x:c r="F67" s="101" t="str">
        <x:f>VLOOKUP(C67,'Compatibility Gates'!$A$4:$I$70,4,FALSE)</x:f>
        <x:v>petg_general_0p4</x:v>
      </x:c>
    </x:row>
    <x:row r="68" ht="30" customHeight="1">
      <x:c r="A68" s="101" t="str">
        <x:v>03C1</x:v>
      </x:c>
      <x:c r="B68" s="101" t="str">
        <x:v>03C1_PETG_tag_frame_first_article.3mf</x:v>
      </x:c>
      <x:c r="C68" s="101" t="str">
        <x:v>geometry_matches_measurements</x:v>
      </x:c>
      <x:c r="D68" s="101" t="str">
        <x:f>VLOOKUP(C68,'Compatibility Gates'!$A$4:$I$70,3,FALSE)</x:f>
        <x:v>NOT_TESTED</x:v>
      </x:c>
      <x:c r="E68" s="101" t="str">
        <x:f>VLOOKUP(C68,'Compatibility Gates'!$A$4:$I$70,2,FALSE)</x:f>
        <x:v>release</x:v>
      </x:c>
      <x:c r="F68" s="101" t="str">
        <x:f>VLOOKUP(C68,'Compatibility Gates'!$A$4:$I$70,4,FALSE)</x:f>
        <x:v>generated_geometry</x:v>
      </x:c>
    </x:row>
    <x:row r="69" ht="30" customHeight="1">
      <x:c r="A69" s="101" t="str">
        <x:v>03C1</x:v>
      </x:c>
      <x:c r="B69" s="101" t="str">
        <x:v>03C1_PETG_tag_frame_first_article.3mf</x:v>
      </x:c>
      <x:c r="C69" s="101" t="str">
        <x:v>qidi_studio_roundtrip_confirmed</x:v>
      </x:c>
      <x:c r="D69" s="101" t="str">
        <x:f>VLOOKUP(C69,'Compatibility Gates'!$A$4:$I$70,3,FALSE)</x:f>
        <x:v>NOT_TESTED</x:v>
      </x:c>
      <x:c r="E69" s="101" t="str">
        <x:f>VLOOKUP(C69,'Compatibility Gates'!$A$4:$I$70,2,FALSE)</x:f>
        <x:v>release</x:v>
      </x:c>
      <x:c r="F69" s="101" t="str">
        <x:f>VLOOKUP(C69,'Compatibility Gates'!$A$4:$I$70,4,FALSE)</x:f>
        <x:v>all_active_profiles</x:v>
      </x:c>
    </x:row>
    <x:row r="70" ht="30" customHeight="1">
      <x:c r="A70" s="101" t="str">
        <x:v>03C2</x:v>
      </x:c>
      <x:c r="B70" s="101" t="str">
        <x:v>03C2_PETG_tag_frames_remaining.3mf</x:v>
      </x:c>
      <x:c r="C70" s="101" t="str">
        <x:v>plus4_machine_confirmed</x:v>
      </x:c>
      <x:c r="D70" s="101" t="str">
        <x:f>VLOOKUP(C70,'Compatibility Gates'!$A$4:$I$70,3,FALSE)</x:f>
        <x:v>PASS</x:v>
      </x:c>
      <x:c r="E70" s="101" t="str">
        <x:f>VLOOKUP(C70,'Compatibility Gates'!$A$4:$I$70,2,FALSE)</x:f>
        <x:v>machine</x:v>
      </x:c>
      <x:c r="F70" s="101" t="str">
        <x:f>VLOOKUP(C70,'Compatibility Gates'!$A$4:$I$70,4,FALSE)</x:f>
        <x:v>machine_configuration</x:v>
      </x:c>
    </x:row>
    <x:row r="71" ht="30" customHeight="1">
      <x:c r="A71" s="101" t="str">
        <x:v>03C2</x:v>
      </x:c>
      <x:c r="B71" s="101" t="str">
        <x:v>03C2_PETG_tag_frames_remaining.3mf</x:v>
      </x:c>
      <x:c r="C71" s="101" t="str">
        <x:v>nozzle_0p4_confirmed</x:v>
      </x:c>
      <x:c r="D71" s="101" t="str">
        <x:f>VLOOKUP(C71,'Compatibility Gates'!$A$4:$I$70,3,FALSE)</x:f>
        <x:v>NOT_TESTED</x:v>
      </x:c>
      <x:c r="E71" s="101" t="str">
        <x:f>VLOOKUP(C71,'Compatibility Gates'!$A$4:$I$70,2,FALSE)</x:f>
        <x:v>machine</x:v>
      </x:c>
      <x:c r="F71" s="101" t="str">
        <x:f>VLOOKUP(C71,'Compatibility Gates'!$A$4:$I$70,4,FALSE)</x:f>
        <x:v>machine_configuration</x:v>
      </x:c>
    </x:row>
    <x:row r="72" ht="30" customHeight="1">
      <x:c r="A72" s="101" t="str">
        <x:v>03C2</x:v>
      </x:c>
      <x:c r="B72" s="101" t="str">
        <x:v>03C2_PETG_tag_frames_remaining.3mf</x:v>
      </x:c>
      <x:c r="C72" s="101" t="str">
        <x:v>petg_general_profile_calibrated</x:v>
      </x:c>
      <x:c r="D72" s="101" t="str">
        <x:f>VLOOKUP(C72,'Compatibility Gates'!$A$4:$I$70,3,FALSE)</x:f>
        <x:v>NOT_TESTED</x:v>
      </x:c>
      <x:c r="E72" s="101" t="str">
        <x:f>VLOOKUP(C72,'Compatibility Gates'!$A$4:$I$70,2,FALSE)</x:f>
        <x:v>material</x:v>
      </x:c>
      <x:c r="F72" s="101" t="str">
        <x:f>VLOOKUP(C72,'Compatibility Gates'!$A$4:$I$70,4,FALSE)</x:f>
        <x:v>petg_general_0p4</x:v>
      </x:c>
    </x:row>
    <x:row r="73" ht="30" customHeight="1">
      <x:c r="A73" s="101" t="str">
        <x:v>03C2</x:v>
      </x:c>
      <x:c r="B73" s="101" t="str">
        <x:v>03C2_PETG_tag_frames_remaining.3mf</x:v>
      </x:c>
      <x:c r="C73" s="101" t="str">
        <x:v>tag_stock_measured</x:v>
      </x:c>
      <x:c r="D73" s="101" t="str">
        <x:f>VLOOKUP(C73,'Compatibility Gates'!$A$4:$I$70,3,FALSE)</x:f>
        <x:v>NOT_TESTED</x:v>
      </x:c>
      <x:c r="E73" s="101" t="str">
        <x:f>VLOOKUP(C73,'Compatibility Gates'!$A$4:$I$70,2,FALSE)</x:f>
        <x:v>measurement</x:v>
      </x:c>
      <x:c r="F73" s="101" t="str">
        <x:f>VLOOKUP(C73,'Compatibility Gates'!$A$4:$I$70,4,FALSE)</x:f>
        <x:v>geometry_input</x:v>
      </x:c>
    </x:row>
    <x:row r="74" ht="30" customHeight="1">
      <x:c r="A74" s="101" t="str">
        <x:v>03C2</x:v>
      </x:c>
      <x:c r="B74" s="101" t="str">
        <x:v>03C2_PETG_tag_frames_remaining.3mf</x:v>
      </x:c>
      <x:c r="C74" s="101" t="str">
        <x:v>tag_artwork_scale_pass</x:v>
      </x:c>
      <x:c r="D74" s="101" t="str">
        <x:f>VLOOKUP(C74,'Compatibility Gates'!$A$4:$I$70,3,FALSE)</x:f>
        <x:v>NOT_TESTED</x:v>
      </x:c>
      <x:c r="E74" s="101" t="str">
        <x:f>VLOOKUP(C74,'Compatibility Gates'!$A$4:$I$70,2,FALSE)</x:f>
        <x:v>first_article</x:v>
      </x:c>
      <x:c r="F74" s="101" t="str">
        <x:f>VLOOKUP(C74,'Compatibility Gates'!$A$4:$I$70,4,FALSE)</x:f>
        <x:v>artwork_100_percent</x:v>
      </x:c>
    </x:row>
    <x:row r="75" ht="30" customHeight="1">
      <x:c r="A75" s="101" t="str">
        <x:v>03C2</x:v>
      </x:c>
      <x:c r="B75" s="101" t="str">
        <x:v>03C2_PETG_tag_frames_remaining.3mf</x:v>
      </x:c>
      <x:c r="C75" s="101" t="str">
        <x:v>tag_frame_first_article_pass</x:v>
      </x:c>
      <x:c r="D75" s="101" t="str">
        <x:f>VLOOKUP(C75,'Compatibility Gates'!$A$4:$I$70,3,FALSE)</x:f>
        <x:v>NOT_TESTED</x:v>
      </x:c>
      <x:c r="E75" s="101" t="str">
        <x:f>VLOOKUP(C75,'Compatibility Gates'!$A$4:$I$70,2,FALSE)</x:f>
        <x:v>first_article</x:v>
      </x:c>
      <x:c r="F75" s="101" t="str">
        <x:f>VLOOKUP(C75,'Compatibility Gates'!$A$4:$I$70,4,FALSE)</x:f>
        <x:v>petg_general_0p4</x:v>
      </x:c>
    </x:row>
    <x:row r="76" ht="30" customHeight="1">
      <x:c r="A76" s="101" t="str">
        <x:v>03C2</x:v>
      </x:c>
      <x:c r="B76" s="101" t="str">
        <x:v>03C2_PETG_tag_frames_remaining.3mf</x:v>
      </x:c>
      <x:c r="C76" s="101" t="str">
        <x:v>qidi_studio_roundtrip_confirmed</x:v>
      </x:c>
      <x:c r="D76" s="101" t="str">
        <x:f>VLOOKUP(C76,'Compatibility Gates'!$A$4:$I$70,3,FALSE)</x:f>
        <x:v>NOT_TESTED</x:v>
      </x:c>
      <x:c r="E76" s="101" t="str">
        <x:f>VLOOKUP(C76,'Compatibility Gates'!$A$4:$I$70,2,FALSE)</x:f>
        <x:v>release</x:v>
      </x:c>
      <x:c r="F76" s="101" t="str">
        <x:f>VLOOKUP(C76,'Compatibility Gates'!$A$4:$I$70,4,FALSE)</x:f>
        <x:v>all_active_profiles</x:v>
      </x:c>
    </x:row>
    <x:row r="77" ht="30" customHeight="1">
      <x:c r="A77" s="101" t="str">
        <x:v>03C3</x:v>
      </x:c>
      <x:c r="B77" s="101" t="str">
        <x:v>03C3_PETG_camera_plate.3mf</x:v>
      </x:c>
      <x:c r="C77" s="101" t="str">
        <x:v>plus4_machine_confirmed</x:v>
      </x:c>
      <x:c r="D77" s="101" t="str">
        <x:f>VLOOKUP(C77,'Compatibility Gates'!$A$4:$I$70,3,FALSE)</x:f>
        <x:v>PASS</x:v>
      </x:c>
      <x:c r="E77" s="101" t="str">
        <x:f>VLOOKUP(C77,'Compatibility Gates'!$A$4:$I$70,2,FALSE)</x:f>
        <x:v>machine</x:v>
      </x:c>
      <x:c r="F77" s="101" t="str">
        <x:f>VLOOKUP(C77,'Compatibility Gates'!$A$4:$I$70,4,FALSE)</x:f>
        <x:v>machine_configuration</x:v>
      </x:c>
    </x:row>
    <x:row r="78" ht="30" customHeight="1">
      <x:c r="A78" s="101" t="str">
        <x:v>03C3</x:v>
      </x:c>
      <x:c r="B78" s="101" t="str">
        <x:v>03C3_PETG_camera_plate.3mf</x:v>
      </x:c>
      <x:c r="C78" s="101" t="str">
        <x:v>nozzle_0p4_confirmed</x:v>
      </x:c>
      <x:c r="D78" s="101" t="str">
        <x:f>VLOOKUP(C78,'Compatibility Gates'!$A$4:$I$70,3,FALSE)</x:f>
        <x:v>NOT_TESTED</x:v>
      </x:c>
      <x:c r="E78" s="101" t="str">
        <x:f>VLOOKUP(C78,'Compatibility Gates'!$A$4:$I$70,2,FALSE)</x:f>
        <x:v>machine</x:v>
      </x:c>
      <x:c r="F78" s="101" t="str">
        <x:f>VLOOKUP(C78,'Compatibility Gates'!$A$4:$I$70,4,FALSE)</x:f>
        <x:v>machine_configuration</x:v>
      </x:c>
    </x:row>
    <x:row r="79" ht="30" customHeight="1">
      <x:c r="A79" s="101" t="str">
        <x:v>03C3</x:v>
      </x:c>
      <x:c r="B79" s="101" t="str">
        <x:v>03C3_PETG_camera_plate.3mf</x:v>
      </x:c>
      <x:c r="C79" s="101" t="str">
        <x:v>petg_general_profile_calibrated</x:v>
      </x:c>
      <x:c r="D79" s="101" t="str">
        <x:f>VLOOKUP(C79,'Compatibility Gates'!$A$4:$I$70,3,FALSE)</x:f>
        <x:v>NOT_TESTED</x:v>
      </x:c>
      <x:c r="E79" s="101" t="str">
        <x:f>VLOOKUP(C79,'Compatibility Gates'!$A$4:$I$70,2,FALSE)</x:f>
        <x:v>material</x:v>
      </x:c>
      <x:c r="F79" s="101" t="str">
        <x:f>VLOOKUP(C79,'Compatibility Gates'!$A$4:$I$70,4,FALSE)</x:f>
        <x:v>petg_general_0p4</x:v>
      </x:c>
    </x:row>
    <x:row r="80" ht="30" customHeight="1">
      <x:c r="A80" s="101" t="str">
        <x:v>03C3</x:v>
      </x:c>
      <x:c r="B80" s="101" t="str">
        <x:v>03C3_PETG_camera_plate.3mf</x:v>
      </x:c>
      <x:c r="C80" s="101" t="str">
        <x:v>camera_mount_interface_measured</x:v>
      </x:c>
      <x:c r="D80" s="101" t="str">
        <x:f>VLOOKUP(C80,'Compatibility Gates'!$A$4:$I$70,3,FALSE)</x:f>
        <x:v>NOT_TESTED</x:v>
      </x:c>
      <x:c r="E80" s="101" t="str">
        <x:f>VLOOKUP(C80,'Compatibility Gates'!$A$4:$I$70,2,FALSE)</x:f>
        <x:v>measurement</x:v>
      </x:c>
      <x:c r="F80" s="101" t="str">
        <x:f>VLOOKUP(C80,'Compatibility Gates'!$A$4:$I$70,4,FALSE)</x:f>
        <x:v>petg_general_0p4</x:v>
      </x:c>
    </x:row>
    <x:row r="81" ht="30" customHeight="1">
      <x:c r="A81" s="101" t="str">
        <x:v>03C3</x:v>
      </x:c>
      <x:c r="B81" s="101" t="str">
        <x:v>03C3_PETG_camera_plate.3mf</x:v>
      </x:c>
      <x:c r="C81" s="101" t="str">
        <x:v>general_clearance_holes_coupon_pass</x:v>
      </x:c>
      <x:c r="D81" s="101" t="str">
        <x:f>VLOOKUP(C81,'Compatibility Gates'!$A$4:$I$70,3,FALSE)</x:f>
        <x:v>NOT_TESTED</x:v>
      </x:c>
      <x:c r="E81" s="101" t="str">
        <x:f>VLOOKUP(C81,'Compatibility Gates'!$A$4:$I$70,2,FALSE)</x:f>
        <x:v>coupon</x:v>
      </x:c>
      <x:c r="F81" s="101" t="str">
        <x:f>VLOOKUP(C81,'Compatibility Gates'!$A$4:$I$70,4,FALSE)</x:f>
        <x:v>petg_general_0p4</x:v>
      </x:c>
    </x:row>
    <x:row r="82" ht="30" customHeight="1">
      <x:c r="A82" s="101" t="str">
        <x:v>03C3</x:v>
      </x:c>
      <x:c r="B82" s="101" t="str">
        <x:v>03C3_PETG_camera_plate.3mf</x:v>
      </x:c>
      <x:c r="C82" s="101" t="str">
        <x:v>setup_hardware_coupon_pass</x:v>
      </x:c>
      <x:c r="D82" s="101" t="str">
        <x:f>VLOOKUP(C82,'Compatibility Gates'!$A$4:$I$70,3,FALSE)</x:f>
        <x:v>NOT_TESTED</x:v>
      </x:c>
      <x:c r="E82" s="101" t="str">
        <x:f>VLOOKUP(C82,'Compatibility Gates'!$A$4:$I$70,2,FALSE)</x:f>
        <x:v>coupon</x:v>
      </x:c>
      <x:c r="F82" s="101" t="str">
        <x:f>VLOOKUP(C82,'Compatibility Gates'!$A$4:$I$70,4,FALSE)</x:f>
        <x:v>petg_general_0p4</x:v>
      </x:c>
    </x:row>
    <x:row r="83" ht="30" customHeight="1">
      <x:c r="A83" s="101" t="str">
        <x:v>03C3</x:v>
      </x:c>
      <x:c r="B83" s="101" t="str">
        <x:v>03C3_PETG_camera_plate.3mf</x:v>
      </x:c>
      <x:c r="C83" s="101" t="str">
        <x:v>geometry_matches_measurements</x:v>
      </x:c>
      <x:c r="D83" s="101" t="str">
        <x:f>VLOOKUP(C83,'Compatibility Gates'!$A$4:$I$70,3,FALSE)</x:f>
        <x:v>NOT_TESTED</x:v>
      </x:c>
      <x:c r="E83" s="101" t="str">
        <x:f>VLOOKUP(C83,'Compatibility Gates'!$A$4:$I$70,2,FALSE)</x:f>
        <x:v>release</x:v>
      </x:c>
      <x:c r="F83" s="101" t="str">
        <x:f>VLOOKUP(C83,'Compatibility Gates'!$A$4:$I$70,4,FALSE)</x:f>
        <x:v>generated_geometry</x:v>
      </x:c>
    </x:row>
    <x:row r="84" ht="30" customHeight="1">
      <x:c r="A84" s="101" t="str">
        <x:v>03C3</x:v>
      </x:c>
      <x:c r="B84" s="101" t="str">
        <x:v>03C3_PETG_camera_plate.3mf</x:v>
      </x:c>
      <x:c r="C84" s="101" t="str">
        <x:v>qidi_studio_roundtrip_confirmed</x:v>
      </x:c>
      <x:c r="D84" s="101" t="str">
        <x:f>VLOOKUP(C84,'Compatibility Gates'!$A$4:$I$70,3,FALSE)</x:f>
        <x:v>NOT_TESTED</x:v>
      </x:c>
      <x:c r="E84" s="101" t="str">
        <x:f>VLOOKUP(C84,'Compatibility Gates'!$A$4:$I$70,2,FALSE)</x:f>
        <x:v>release</x:v>
      </x:c>
      <x:c r="F84" s="101" t="str">
        <x:f>VLOOKUP(C84,'Compatibility Gates'!$A$4:$I$70,4,FALSE)</x:f>
        <x:v>all_active_profiles</x:v>
      </x:c>
    </x:row>
    <x:row r="85" ht="30" customHeight="1">
      <x:c r="A85" s="101" t="str">
        <x:v>03D</x:v>
      </x:c>
      <x:c r="B85" s="101" t="str">
        <x:v>03D_PETG_calibration_puck.3mf</x:v>
      </x:c>
      <x:c r="C85" s="101" t="str">
        <x:v>plus4_machine_confirmed</x:v>
      </x:c>
      <x:c r="D85" s="101" t="str">
        <x:f>VLOOKUP(C85,'Compatibility Gates'!$A$4:$I$70,3,FALSE)</x:f>
        <x:v>PASS</x:v>
      </x:c>
      <x:c r="E85" s="101" t="str">
        <x:f>VLOOKUP(C85,'Compatibility Gates'!$A$4:$I$70,2,FALSE)</x:f>
        <x:v>machine</x:v>
      </x:c>
      <x:c r="F85" s="101" t="str">
        <x:f>VLOOKUP(C85,'Compatibility Gates'!$A$4:$I$70,4,FALSE)</x:f>
        <x:v>machine_configuration</x:v>
      </x:c>
    </x:row>
    <x:row r="86" ht="30" customHeight="1">
      <x:c r="A86" s="101" t="str">
        <x:v>03D</x:v>
      </x:c>
      <x:c r="B86" s="101" t="str">
        <x:v>03D_PETG_calibration_puck.3mf</x:v>
      </x:c>
      <x:c r="C86" s="101" t="str">
        <x:v>nozzle_0p4_confirmed</x:v>
      </x:c>
      <x:c r="D86" s="101" t="str">
        <x:f>VLOOKUP(C86,'Compatibility Gates'!$A$4:$I$70,3,FALSE)</x:f>
        <x:v>NOT_TESTED</x:v>
      </x:c>
      <x:c r="E86" s="101" t="str">
        <x:f>VLOOKUP(C86,'Compatibility Gates'!$A$4:$I$70,2,FALSE)</x:f>
        <x:v>machine</x:v>
      </x:c>
      <x:c r="F86" s="101" t="str">
        <x:f>VLOOKUP(C86,'Compatibility Gates'!$A$4:$I$70,4,FALSE)</x:f>
        <x:v>machine_configuration</x:v>
      </x:c>
    </x:row>
    <x:row r="87" ht="30" customHeight="1">
      <x:c r="A87" s="101" t="str">
        <x:v>03D</x:v>
      </x:c>
      <x:c r="B87" s="101" t="str">
        <x:v>03D_PETG_calibration_puck.3mf</x:v>
      </x:c>
      <x:c r="C87" s="101" t="str">
        <x:v>petg_calibration_profile_calibrated</x:v>
      </x:c>
      <x:c r="D87" s="101" t="str">
        <x:f>VLOOKUP(C87,'Compatibility Gates'!$A$4:$I$70,3,FALSE)</x:f>
        <x:v>NOT_TESTED</x:v>
      </x:c>
      <x:c r="E87" s="101" t="str">
        <x:f>VLOOKUP(C87,'Compatibility Gates'!$A$4:$I$70,2,FALSE)</x:f>
        <x:v>material</x:v>
      </x:c>
      <x:c r="F87" s="101" t="str">
        <x:f>VLOOKUP(C87,'Compatibility Gates'!$A$4:$I$70,4,FALSE)</x:f>
        <x:v>petg_calibration_0p4</x:v>
      </x:c>
    </x:row>
    <x:row r="88" ht="30" customHeight="1">
      <x:c r="A88" s="101" t="str">
        <x:v>03D</x:v>
      </x:c>
      <x:c r="B88" s="101" t="str">
        <x:v>03D_PETG_calibration_puck.3mf</x:v>
      </x:c>
      <x:c r="C88" s="101" t="str">
        <x:v>calibration_clearance_holes_coupon_pass</x:v>
      </x:c>
      <x:c r="D88" s="101" t="str">
        <x:f>VLOOKUP(C88,'Compatibility Gates'!$A$4:$I$70,3,FALSE)</x:f>
        <x:v>NOT_TESTED</x:v>
      </x:c>
      <x:c r="E88" s="101" t="str">
        <x:f>VLOOKUP(C88,'Compatibility Gates'!$A$4:$I$70,2,FALSE)</x:f>
        <x:v>coupon</x:v>
      </x:c>
      <x:c r="F88" s="101" t="str">
        <x:f>VLOOKUP(C88,'Compatibility Gates'!$A$4:$I$70,4,FALSE)</x:f>
        <x:v>petg_calibration_0p4</x:v>
      </x:c>
    </x:row>
    <x:row r="89" ht="30" customHeight="1">
      <x:c r="A89" s="101" t="str">
        <x:v>03D</x:v>
      </x:c>
      <x:c r="B89" s="101" t="str">
        <x:v>03D_PETG_calibration_puck.3mf</x:v>
      </x:c>
      <x:c r="C89" s="101" t="str">
        <x:v>geometry_matches_measurements</x:v>
      </x:c>
      <x:c r="D89" s="101" t="str">
        <x:f>VLOOKUP(C89,'Compatibility Gates'!$A$4:$I$70,3,FALSE)</x:f>
        <x:v>NOT_TESTED</x:v>
      </x:c>
      <x:c r="E89" s="101" t="str">
        <x:f>VLOOKUP(C89,'Compatibility Gates'!$A$4:$I$70,2,FALSE)</x:f>
        <x:v>release</x:v>
      </x:c>
      <x:c r="F89" s="101" t="str">
        <x:f>VLOOKUP(C89,'Compatibility Gates'!$A$4:$I$70,4,FALSE)</x:f>
        <x:v>generated_geometry</x:v>
      </x:c>
    </x:row>
    <x:row r="90" ht="30" customHeight="1">
      <x:c r="A90" s="101" t="str">
        <x:v>03D</x:v>
      </x:c>
      <x:c r="B90" s="101" t="str">
        <x:v>03D_PETG_calibration_puck.3mf</x:v>
      </x:c>
      <x:c r="C90" s="101" t="str">
        <x:v>qidi_studio_roundtrip_confirmed</x:v>
      </x:c>
      <x:c r="D90" s="101" t="str">
        <x:f>VLOOKUP(C90,'Compatibility Gates'!$A$4:$I$70,3,FALSE)</x:f>
        <x:v>NOT_TESTED</x:v>
      </x:c>
      <x:c r="E90" s="101" t="str">
        <x:f>VLOOKUP(C90,'Compatibility Gates'!$A$4:$I$70,2,FALSE)</x:f>
        <x:v>release</x:v>
      </x:c>
      <x:c r="F90" s="101" t="str">
        <x:f>VLOOKUP(C90,'Compatibility Gates'!$A$4:$I$70,4,FALSE)</x:f>
        <x:v>all_active_profiles</x:v>
      </x:c>
    </x:row>
    <x:row r="91" ht="30" customHeight="1">
      <x:c r="A91" s="101" t="str">
        <x:v>04A</x:v>
      </x:c>
      <x:c r="B91" s="101" t="str">
        <x:v>04A_PETG_shared_compliant_tool.3mf</x:v>
      </x:c>
      <x:c r="C91" s="101" t="str">
        <x:v>plus4_machine_confirmed</x:v>
      </x:c>
      <x:c r="D91" s="101" t="str">
        <x:f>VLOOKUP(C91,'Compatibility Gates'!$A$4:$I$70,3,FALSE)</x:f>
        <x:v>PASS</x:v>
      </x:c>
      <x:c r="E91" s="101" t="str">
        <x:f>VLOOKUP(C91,'Compatibility Gates'!$A$4:$I$70,2,FALSE)</x:f>
        <x:v>machine</x:v>
      </x:c>
      <x:c r="F91" s="101" t="str">
        <x:f>VLOOKUP(C91,'Compatibility Gates'!$A$4:$I$70,4,FALSE)</x:f>
        <x:v>machine_configuration</x:v>
      </x:c>
    </x:row>
    <x:row r="92" ht="30" customHeight="1">
      <x:c r="A92" s="101" t="str">
        <x:v>04A</x:v>
      </x:c>
      <x:c r="B92" s="101" t="str">
        <x:v>04A_PETG_shared_compliant_tool.3mf</x:v>
      </x:c>
      <x:c r="C92" s="101" t="str">
        <x:v>nozzle_0p4_confirmed</x:v>
      </x:c>
      <x:c r="D92" s="101" t="str">
        <x:f>VLOOKUP(C92,'Compatibility Gates'!$A$4:$I$70,3,FALSE)</x:f>
        <x:v>NOT_TESTED</x:v>
      </x:c>
      <x:c r="E92" s="101" t="str">
        <x:f>VLOOKUP(C92,'Compatibility Gates'!$A$4:$I$70,2,FALSE)</x:f>
        <x:v>machine</x:v>
      </x:c>
      <x:c r="F92" s="101" t="str">
        <x:f>VLOOKUP(C92,'Compatibility Gates'!$A$4:$I$70,4,FALSE)</x:f>
        <x:v>machine_configuration</x:v>
      </x:c>
    </x:row>
    <x:row r="93" ht="30" customHeight="1">
      <x:c r="A93" s="101" t="str">
        <x:v>04A</x:v>
      </x:c>
      <x:c r="B93" s="101" t="str">
        <x:v>04A_PETG_shared_compliant_tool.3mf</x:v>
      </x:c>
      <x:c r="C93" s="101" t="str">
        <x:v>petg_precision_profile_calibrated</x:v>
      </x:c>
      <x:c r="D93" s="101" t="str">
        <x:f>VLOOKUP(C93,'Compatibility Gates'!$A$4:$I$70,3,FALSE)</x:f>
        <x:v>NOT_TESTED</x:v>
      </x:c>
      <x:c r="E93" s="101" t="str">
        <x:f>VLOOKUP(C93,'Compatibility Gates'!$A$4:$I$70,2,FALSE)</x:f>
        <x:v>material</x:v>
      </x:c>
      <x:c r="F93" s="101" t="str">
        <x:f>VLOOKUP(C93,'Compatibility Gates'!$A$4:$I$70,4,FALSE)</x:f>
        <x:v>petg_precision_0p4</x:v>
      </x:c>
    </x:row>
    <x:row r="94" ht="30" customHeight="1">
      <x:c r="A94" s="101" t="str">
        <x:v>04A</x:v>
      </x:c>
      <x:c r="B94" s="101" t="str">
        <x:v>04A_PETG_shared_compliant_tool.3mf</x:v>
      </x:c>
      <x:c r="C94" s="101" t="str">
        <x:v>m3_insert_coupon_pass</x:v>
      </x:c>
      <x:c r="D94" s="101" t="str">
        <x:f>VLOOKUP(C94,'Compatibility Gates'!$A$4:$I$70,3,FALSE)</x:f>
        <x:v>NOT_TESTED</x:v>
      </x:c>
      <x:c r="E94" s="101" t="str">
        <x:f>VLOOKUP(C94,'Compatibility Gates'!$A$4:$I$70,2,FALSE)</x:f>
        <x:v>coupon</x:v>
      </x:c>
      <x:c r="F94" s="101" t="str">
        <x:f>VLOOKUP(C94,'Compatibility Gates'!$A$4:$I$70,4,FALSE)</x:f>
        <x:v>petg_precision_0p4</x:v>
      </x:c>
    </x:row>
    <x:row r="95" ht="30" customHeight="1">
      <x:c r="A95" s="101" t="str">
        <x:v>04A</x:v>
      </x:c>
      <x:c r="B95" s="101" t="str">
        <x:v>04A_PETG_shared_compliant_tool.3mf</x:v>
      </x:c>
      <x:c r="C95" s="101" t="str">
        <x:v>gripper_interface_measured</x:v>
      </x:c>
      <x:c r="D95" s="101" t="str">
        <x:f>VLOOKUP(C95,'Compatibility Gates'!$A$4:$I$70,3,FALSE)</x:f>
        <x:v>NOT_TESTED</x:v>
      </x:c>
      <x:c r="E95" s="101" t="str">
        <x:f>VLOOKUP(C95,'Compatibility Gates'!$A$4:$I$70,2,FALSE)</x:f>
        <x:v>measurement</x:v>
      </x:c>
      <x:c r="F95" s="101" t="str">
        <x:f>VLOOKUP(C95,'Compatibility Gates'!$A$4:$I$70,4,FALSE)</x:f>
        <x:v>petg_precision_0p4</x:v>
      </x:c>
    </x:row>
    <x:row r="96" ht="30" customHeight="1">
      <x:c r="A96" s="101" t="str">
        <x:v>04A</x:v>
      </x:c>
      <x:c r="B96" s="101" t="str">
        <x:v>04A_PETG_shared_compliant_tool.3mf</x:v>
      </x:c>
      <x:c r="C96" s="101" t="str">
        <x:v>gripper_coupon_pass</x:v>
      </x:c>
      <x:c r="D96" s="101" t="str">
        <x:f>VLOOKUP(C96,'Compatibility Gates'!$A$4:$I$70,3,FALSE)</x:f>
        <x:v>NOT_TESTED</x:v>
      </x:c>
      <x:c r="E96" s="101" t="str">
        <x:f>VLOOKUP(C96,'Compatibility Gates'!$A$4:$I$70,2,FALSE)</x:f>
        <x:v>coupon</x:v>
      </x:c>
      <x:c r="F96" s="101" t="str">
        <x:f>VLOOKUP(C96,'Compatibility Gates'!$A$4:$I$70,4,FALSE)</x:f>
        <x:v>petg_precision_0p4</x:v>
      </x:c>
    </x:row>
    <x:row r="97" ht="30" customHeight="1">
      <x:c r="A97" s="101" t="str">
        <x:v>04A</x:v>
      </x:c>
      <x:c r="B97" s="101" t="str">
        <x:v>04A_PETG_shared_compliant_tool.3mf</x:v>
      </x:c>
      <x:c r="C97" s="101" t="str">
        <x:v>spring_dimensions_measured</x:v>
      </x:c>
      <x:c r="D97" s="101" t="str">
        <x:f>VLOOKUP(C97,'Compatibility Gates'!$A$4:$I$70,3,FALSE)</x:f>
        <x:v>NOT_TESTED</x:v>
      </x:c>
      <x:c r="E97" s="101" t="str">
        <x:f>VLOOKUP(C97,'Compatibility Gates'!$A$4:$I$70,2,FALSE)</x:f>
        <x:v>measurement</x:v>
      </x:c>
      <x:c r="F97" s="101" t="str">
        <x:f>VLOOKUP(C97,'Compatibility Gates'!$A$4:$I$70,4,FALSE)</x:f>
        <x:v>petg_precision_0p4</x:v>
      </x:c>
    </x:row>
    <x:row r="98" ht="30" customHeight="1">
      <x:c r="A98" s="101" t="str">
        <x:v>04A</x:v>
      </x:c>
      <x:c r="B98" s="101" t="str">
        <x:v>04A_PETG_shared_compliant_tool.3mf</x:v>
      </x:c>
      <x:c r="C98" s="101" t="str">
        <x:v>spring_fit_coupon_pass</x:v>
      </x:c>
      <x:c r="D98" s="101" t="str">
        <x:f>VLOOKUP(C98,'Compatibility Gates'!$A$4:$I$70,3,FALSE)</x:f>
        <x:v>NOT_TESTED</x:v>
      </x:c>
      <x:c r="E98" s="101" t="str">
        <x:f>VLOOKUP(C98,'Compatibility Gates'!$A$4:$I$70,2,FALSE)</x:f>
        <x:v>coupon</x:v>
      </x:c>
      <x:c r="F98" s="101" t="str">
        <x:f>VLOOKUP(C98,'Compatibility Gates'!$A$4:$I$70,4,FALSE)</x:f>
        <x:v>petg_precision_0p4</x:v>
      </x:c>
    </x:row>
    <x:row r="99" ht="30" customHeight="1">
      <x:c r="A99" s="101" t="str">
        <x:v>04A</x:v>
      </x:c>
      <x:c r="B99" s="101" t="str">
        <x:v>04A_PETG_shared_compliant_tool.3mf</x:v>
      </x:c>
      <x:c r="C99" s="101" t="str">
        <x:v>precision_m3_head_coupon_pass</x:v>
      </x:c>
      <x:c r="D99" s="101" t="str">
        <x:f>VLOOKUP(C99,'Compatibility Gates'!$A$4:$I$70,3,FALSE)</x:f>
        <x:v>NOT_TESTED</x:v>
      </x:c>
      <x:c r="E99" s="101" t="str">
        <x:f>VLOOKUP(C99,'Compatibility Gates'!$A$4:$I$70,2,FALSE)</x:f>
        <x:v>coupon</x:v>
      </x:c>
      <x:c r="F99" s="101" t="str">
        <x:f>VLOOKUP(C99,'Compatibility Gates'!$A$4:$I$70,4,FALSE)</x:f>
        <x:v>petg_precision_0p4</x:v>
      </x:c>
    </x:row>
    <x:row r="100" ht="30" customHeight="1">
      <x:c r="A100" s="101" t="str">
        <x:v>04A</x:v>
      </x:c>
      <x:c r="B100" s="101" t="str">
        <x:v>04A_PETG_shared_compliant_tool.3mf</x:v>
      </x:c>
      <x:c r="C100" s="101" t="str">
        <x:v>geometry_matches_measurements</x:v>
      </x:c>
      <x:c r="D100" s="101" t="str">
        <x:f>VLOOKUP(C100,'Compatibility Gates'!$A$4:$I$70,3,FALSE)</x:f>
        <x:v>NOT_TESTED</x:v>
      </x:c>
      <x:c r="E100" s="101" t="str">
        <x:f>VLOOKUP(C100,'Compatibility Gates'!$A$4:$I$70,2,FALSE)</x:f>
        <x:v>release</x:v>
      </x:c>
      <x:c r="F100" s="101" t="str">
        <x:f>VLOOKUP(C100,'Compatibility Gates'!$A$4:$I$70,4,FALSE)</x:f>
        <x:v>generated_geometry</x:v>
      </x:c>
    </x:row>
    <x:row r="101" ht="30" customHeight="1">
      <x:c r="A101" s="101" t="str">
        <x:v>04A</x:v>
      </x:c>
      <x:c r="B101" s="101" t="str">
        <x:v>04A_PETG_shared_compliant_tool.3mf</x:v>
      </x:c>
      <x:c r="C101" s="101" t="str">
        <x:v>qidi_studio_roundtrip_confirmed</x:v>
      </x:c>
      <x:c r="D101" s="101" t="str">
        <x:f>VLOOKUP(C101,'Compatibility Gates'!$A$4:$I$70,3,FALSE)</x:f>
        <x:v>NOT_TESTED</x:v>
      </x:c>
      <x:c r="E101" s="101" t="str">
        <x:f>VLOOKUP(C101,'Compatibility Gates'!$A$4:$I$70,2,FALSE)</x:f>
        <x:v>release</x:v>
      </x:c>
      <x:c r="F101" s="101" t="str">
        <x:f>VLOOKUP(C101,'Compatibility Gates'!$A$4:$I$70,4,FALSE)</x:f>
        <x:v>all_active_profiles</x:v>
      </x:c>
    </x:row>
    <x:row r="102" ht="30" customHeight="1">
      <x:c r="A102" s="101" t="str">
        <x:v>04B</x:v>
      </x:c>
      <x:c r="B102" s="101" t="str">
        <x:v>04B_PETG_phone_stylus_adapters.3mf</x:v>
      </x:c>
      <x:c r="C102" s="101" t="str">
        <x:v>plus4_machine_confirmed</x:v>
      </x:c>
      <x:c r="D102" s="101" t="str">
        <x:f>VLOOKUP(C102,'Compatibility Gates'!$A$4:$I$70,3,FALSE)</x:f>
        <x:v>PASS</x:v>
      </x:c>
      <x:c r="E102" s="101" t="str">
        <x:f>VLOOKUP(C102,'Compatibility Gates'!$A$4:$I$70,2,FALSE)</x:f>
        <x:v>machine</x:v>
      </x:c>
      <x:c r="F102" s="101" t="str">
        <x:f>VLOOKUP(C102,'Compatibility Gates'!$A$4:$I$70,4,FALSE)</x:f>
        <x:v>machine_configuration</x:v>
      </x:c>
    </x:row>
    <x:row r="103" ht="30" customHeight="1">
      <x:c r="A103" s="101" t="str">
        <x:v>04B</x:v>
      </x:c>
      <x:c r="B103" s="101" t="str">
        <x:v>04B_PETG_phone_stylus_adapters.3mf</x:v>
      </x:c>
      <x:c r="C103" s="101" t="str">
        <x:v>nozzle_0p4_confirmed</x:v>
      </x:c>
      <x:c r="D103" s="101" t="str">
        <x:f>VLOOKUP(C103,'Compatibility Gates'!$A$4:$I$70,3,FALSE)</x:f>
        <x:v>NOT_TESTED</x:v>
      </x:c>
      <x:c r="E103" s="101" t="str">
        <x:f>VLOOKUP(C103,'Compatibility Gates'!$A$4:$I$70,2,FALSE)</x:f>
        <x:v>machine</x:v>
      </x:c>
      <x:c r="F103" s="101" t="str">
        <x:f>VLOOKUP(C103,'Compatibility Gates'!$A$4:$I$70,4,FALSE)</x:f>
        <x:v>machine_configuration</x:v>
      </x:c>
    </x:row>
    <x:row r="104" ht="30" customHeight="1">
      <x:c r="A104" s="101" t="str">
        <x:v>04B</x:v>
      </x:c>
      <x:c r="B104" s="101" t="str">
        <x:v>04B_PETG_phone_stylus_adapters.3mf</x:v>
      </x:c>
      <x:c r="C104" s="101" t="str">
        <x:v>petg_adapter_profile_calibrated</x:v>
      </x:c>
      <x:c r="D104" s="101" t="str">
        <x:f>VLOOKUP(C104,'Compatibility Gates'!$A$4:$I$70,3,FALSE)</x:f>
        <x:v>NOT_TESTED</x:v>
      </x:c>
      <x:c r="E104" s="101" t="str">
        <x:f>VLOOKUP(C104,'Compatibility Gates'!$A$4:$I$70,2,FALSE)</x:f>
        <x:v>material</x:v>
      </x:c>
      <x:c r="F104" s="101" t="str">
        <x:f>VLOOKUP(C104,'Compatibility Gates'!$A$4:$I$70,4,FALSE)</x:f>
        <x:v>petg_adapter_0p4</x:v>
      </x:c>
    </x:row>
    <x:row r="105" ht="30" customHeight="1">
      <x:c r="A105" s="101" t="str">
        <x:v>04B</x:v>
      </x:c>
      <x:c r="B105" s="101" t="str">
        <x:v>04B_PETG_phone_stylus_adapters.3mf</x:v>
      </x:c>
      <x:c r="C105" s="101" t="str">
        <x:v>stylus_diameter_measured</x:v>
      </x:c>
      <x:c r="D105" s="101" t="str">
        <x:f>VLOOKUP(C105,'Compatibility Gates'!$A$4:$I$70,3,FALSE)</x:f>
        <x:v>NOT_TESTED</x:v>
      </x:c>
      <x:c r="E105" s="101" t="str">
        <x:f>VLOOKUP(C105,'Compatibility Gates'!$A$4:$I$70,2,FALSE)</x:f>
        <x:v>measurement</x:v>
      </x:c>
      <x:c r="F105" s="101" t="str">
        <x:f>VLOOKUP(C105,'Compatibility Gates'!$A$4:$I$70,4,FALSE)</x:f>
        <x:v>petg_adapter_0p4</x:v>
      </x:c>
    </x:row>
    <x:row r="106" ht="30" customHeight="1">
      <x:c r="A106" s="101" t="str">
        <x:v>04B</x:v>
      </x:c>
      <x:c r="B106" s="101" t="str">
        <x:v>04B_PETG_phone_stylus_adapters.3mf</x:v>
      </x:c>
      <x:c r="C106" s="101" t="str">
        <x:v>stylus_gauge_coupon_pass</x:v>
      </x:c>
      <x:c r="D106" s="101" t="str">
        <x:f>VLOOKUP(C106,'Compatibility Gates'!$A$4:$I$70,3,FALSE)</x:f>
        <x:v>NOT_TESTED</x:v>
      </x:c>
      <x:c r="E106" s="101" t="str">
        <x:f>VLOOKUP(C106,'Compatibility Gates'!$A$4:$I$70,2,FALSE)</x:f>
        <x:v>coupon</x:v>
      </x:c>
      <x:c r="F106" s="101" t="str">
        <x:f>VLOOKUP(C106,'Compatibility Gates'!$A$4:$I$70,4,FALSE)</x:f>
        <x:v>petg_adapter_0p4</x:v>
      </x:c>
    </x:row>
    <x:row r="107" ht="30" customHeight="1">
      <x:c r="A107" s="101" t="str">
        <x:v>04B</x:v>
      </x:c>
      <x:c r="B107" s="101" t="str">
        <x:v>04B_PETG_phone_stylus_adapters.3mf</x:v>
      </x:c>
      <x:c r="C107" s="101" t="str">
        <x:v>adapter_retention_method_selected</x:v>
      </x:c>
      <x:c r="D107" s="101" t="str">
        <x:f>VLOOKUP(C107,'Compatibility Gates'!$A$4:$I$70,3,FALSE)</x:f>
        <x:v>NOT_TESTED</x:v>
      </x:c>
      <x:c r="E107" s="101" t="str">
        <x:f>VLOOKUP(C107,'Compatibility Gates'!$A$4:$I$70,2,FALSE)</x:f>
        <x:v>release</x:v>
      </x:c>
      <x:c r="F107" s="101" t="str">
        <x:f>VLOOKUP(C107,'Compatibility Gates'!$A$4:$I$70,4,FALSE)</x:f>
        <x:v>petg_adapter_0p4</x:v>
      </x:c>
    </x:row>
    <x:row r="108" ht="30" customHeight="1">
      <x:c r="A108" s="101" t="str">
        <x:v>04B</x:v>
      </x:c>
      <x:c r="B108" s="101" t="str">
        <x:v>04B_PETG_phone_stylus_adapters.3mf</x:v>
      </x:c>
      <x:c r="C108" s="101" t="str">
        <x:v>qidi_studio_roundtrip_confirmed</x:v>
      </x:c>
      <x:c r="D108" s="101" t="str">
        <x:f>VLOOKUP(C108,'Compatibility Gates'!$A$4:$I$70,3,FALSE)</x:f>
        <x:v>NOT_TESTED</x:v>
      </x:c>
      <x:c r="E108" s="101" t="str">
        <x:f>VLOOKUP(C108,'Compatibility Gates'!$A$4:$I$70,2,FALSE)</x:f>
        <x:v>release</x:v>
      </x:c>
      <x:c r="F108" s="101" t="str">
        <x:f>VLOOKUP(C108,'Compatibility Gates'!$A$4:$I$70,4,FALSE)</x:f>
        <x:v>all_active_profiles</x:v>
      </x:c>
    </x:row>
    <x:row r="109" ht="30" customHeight="1">
      <x:c r="A109" s="101" t="str">
        <x:v>04C</x:v>
      </x:c>
      <x:c r="B109" s="101" t="str">
        <x:v>04C_PETG_keyboard_rod_adapters.3mf</x:v>
      </x:c>
      <x:c r="C109" s="101" t="str">
        <x:v>plus4_machine_confirmed</x:v>
      </x:c>
      <x:c r="D109" s="101" t="str">
        <x:f>VLOOKUP(C109,'Compatibility Gates'!$A$4:$I$70,3,FALSE)</x:f>
        <x:v>PASS</x:v>
      </x:c>
      <x:c r="E109" s="101" t="str">
        <x:f>VLOOKUP(C109,'Compatibility Gates'!$A$4:$I$70,2,FALSE)</x:f>
        <x:v>machine</x:v>
      </x:c>
      <x:c r="F109" s="101" t="str">
        <x:f>VLOOKUP(C109,'Compatibility Gates'!$A$4:$I$70,4,FALSE)</x:f>
        <x:v>machine_configuration</x:v>
      </x:c>
    </x:row>
    <x:row r="110" ht="30" customHeight="1">
      <x:c r="A110" s="101" t="str">
        <x:v>04C</x:v>
      </x:c>
      <x:c r="B110" s="101" t="str">
        <x:v>04C_PETG_keyboard_rod_adapters.3mf</x:v>
      </x:c>
      <x:c r="C110" s="101" t="str">
        <x:v>nozzle_0p4_confirmed</x:v>
      </x:c>
      <x:c r="D110" s="101" t="str">
        <x:f>VLOOKUP(C110,'Compatibility Gates'!$A$4:$I$70,3,FALSE)</x:f>
        <x:v>NOT_TESTED</x:v>
      </x:c>
      <x:c r="E110" s="101" t="str">
        <x:f>VLOOKUP(C110,'Compatibility Gates'!$A$4:$I$70,2,FALSE)</x:f>
        <x:v>machine</x:v>
      </x:c>
      <x:c r="F110" s="101" t="str">
        <x:f>VLOOKUP(C110,'Compatibility Gates'!$A$4:$I$70,4,FALSE)</x:f>
        <x:v>machine_configuration</x:v>
      </x:c>
    </x:row>
    <x:row r="111" ht="30" customHeight="1">
      <x:c r="A111" s="101" t="str">
        <x:v>04C</x:v>
      </x:c>
      <x:c r="B111" s="101" t="str">
        <x:v>04C_PETG_keyboard_rod_adapters.3mf</x:v>
      </x:c>
      <x:c r="C111" s="101" t="str">
        <x:v>petg_adapter_profile_calibrated</x:v>
      </x:c>
      <x:c r="D111" s="101" t="str">
        <x:f>VLOOKUP(C111,'Compatibility Gates'!$A$4:$I$70,3,FALSE)</x:f>
        <x:v>NOT_TESTED</x:v>
      </x:c>
      <x:c r="E111" s="101" t="str">
        <x:f>VLOOKUP(C111,'Compatibility Gates'!$A$4:$I$70,2,FALSE)</x:f>
        <x:v>material</x:v>
      </x:c>
      <x:c r="F111" s="101" t="str">
        <x:f>VLOOKUP(C111,'Compatibility Gates'!$A$4:$I$70,4,FALSE)</x:f>
        <x:v>petg_adapter_0p4</x:v>
      </x:c>
    </x:row>
    <x:row r="112" ht="30" customHeight="1">
      <x:c r="A112" s="101" t="str">
        <x:v>04C</x:v>
      </x:c>
      <x:c r="B112" s="101" t="str">
        <x:v>04C_PETG_keyboard_rod_adapters.3mf</x:v>
      </x:c>
      <x:c r="C112" s="101" t="str">
        <x:v>keyboard_rod_measured</x:v>
      </x:c>
      <x:c r="D112" s="101" t="str">
        <x:f>VLOOKUP(C112,'Compatibility Gates'!$A$4:$I$70,3,FALSE)</x:f>
        <x:v>NOT_TESTED</x:v>
      </x:c>
      <x:c r="E112" s="101" t="str">
        <x:f>VLOOKUP(C112,'Compatibility Gates'!$A$4:$I$70,2,FALSE)</x:f>
        <x:v>measurement</x:v>
      </x:c>
      <x:c r="F112" s="101" t="str">
        <x:f>VLOOKUP(C112,'Compatibility Gates'!$A$4:$I$70,4,FALSE)</x:f>
        <x:v>petg_adapter_0p4</x:v>
      </x:c>
    </x:row>
    <x:row r="113" ht="30" customHeight="1">
      <x:c r="A113" s="101" t="str">
        <x:v>04C</x:v>
      </x:c>
      <x:c r="B113" s="101" t="str">
        <x:v>04C_PETG_keyboard_rod_adapters.3mf</x:v>
      </x:c>
      <x:c r="C113" s="101" t="str">
        <x:v>adapter_retention_method_selected</x:v>
      </x:c>
      <x:c r="D113" s="101" t="str">
        <x:f>VLOOKUP(C113,'Compatibility Gates'!$A$4:$I$70,3,FALSE)</x:f>
        <x:v>NOT_TESTED</x:v>
      </x:c>
      <x:c r="E113" s="101" t="str">
        <x:f>VLOOKUP(C113,'Compatibility Gates'!$A$4:$I$70,2,FALSE)</x:f>
        <x:v>release</x:v>
      </x:c>
      <x:c r="F113" s="101" t="str">
        <x:f>VLOOKUP(C113,'Compatibility Gates'!$A$4:$I$70,4,FALSE)</x:f>
        <x:v>petg_adapter_0p4</x:v>
      </x:c>
    </x:row>
    <x:row r="114" ht="30" customHeight="1">
      <x:c r="A114" s="101" t="str">
        <x:v>04C</x:v>
      </x:c>
      <x:c r="B114" s="101" t="str">
        <x:v>04C_PETG_keyboard_rod_adapters.3mf</x:v>
      </x:c>
      <x:c r="C114" s="101" t="str">
        <x:v>geometry_matches_measurements</x:v>
      </x:c>
      <x:c r="D114" s="101" t="str">
        <x:f>VLOOKUP(C114,'Compatibility Gates'!$A$4:$I$70,3,FALSE)</x:f>
        <x:v>NOT_TESTED</x:v>
      </x:c>
      <x:c r="E114" s="101" t="str">
        <x:f>VLOOKUP(C114,'Compatibility Gates'!$A$4:$I$70,2,FALSE)</x:f>
        <x:v>release</x:v>
      </x:c>
      <x:c r="F114" s="101" t="str">
        <x:f>VLOOKUP(C114,'Compatibility Gates'!$A$4:$I$70,4,FALSE)</x:f>
        <x:v>generated_geometry</x:v>
      </x:c>
    </x:row>
    <x:row r="115" ht="30" customHeight="1">
      <x:c r="A115" s="101" t="str">
        <x:v>04C</x:v>
      </x:c>
      <x:c r="B115" s="101" t="str">
        <x:v>04C_PETG_keyboard_rod_adapters.3mf</x:v>
      </x:c>
      <x:c r="C115" s="101" t="str">
        <x:v>qidi_studio_roundtrip_confirmed</x:v>
      </x:c>
      <x:c r="D115" s="101" t="str">
        <x:f>VLOOKUP(C115,'Compatibility Gates'!$A$4:$I$70,3,FALSE)</x:f>
        <x:v>NOT_TESTED</x:v>
      </x:c>
      <x:c r="E115" s="101" t="str">
        <x:f>VLOOKUP(C115,'Compatibility Gates'!$A$4:$I$70,2,FALSE)</x:f>
        <x:v>release</x:v>
      </x:c>
      <x:c r="F115" s="101" t="str">
        <x:f>VLOOKUP(C115,'Compatibility Gates'!$A$4:$I$70,4,FALSE)</x:f>
        <x:v>all_active_profiles</x:v>
      </x:c>
    </x:row>
    <x:row r="116" ht="30" customHeight="1">
      <x:c r="A116" s="101" t="str">
        <x:v>05A</x:v>
      </x:c>
      <x:c r="B116" s="101" t="str">
        <x:v>05A_TPU_phone_tip_first_article.3mf</x:v>
      </x:c>
      <x:c r="C116" s="101" t="str">
        <x:v>plus4_machine_confirmed</x:v>
      </x:c>
      <x:c r="D116" s="101" t="str">
        <x:f>VLOOKUP(C116,'Compatibility Gates'!$A$4:$I$70,3,FALSE)</x:f>
        <x:v>PASS</x:v>
      </x:c>
      <x:c r="E116" s="101" t="str">
        <x:f>VLOOKUP(C116,'Compatibility Gates'!$A$4:$I$70,2,FALSE)</x:f>
        <x:v>machine</x:v>
      </x:c>
      <x:c r="F116" s="101" t="str">
        <x:f>VLOOKUP(C116,'Compatibility Gates'!$A$4:$I$70,4,FALSE)</x:f>
        <x:v>machine_configuration</x:v>
      </x:c>
    </x:row>
    <x:row r="117" ht="30" customHeight="1">
      <x:c r="A117" s="101" t="str">
        <x:v>05A</x:v>
      </x:c>
      <x:c r="B117" s="101" t="str">
        <x:v>05A_TPU_phone_tip_first_article.3mf</x:v>
      </x:c>
      <x:c r="C117" s="101" t="str">
        <x:v>nozzle_0p4_confirmed</x:v>
      </x:c>
      <x:c r="D117" s="101" t="str">
        <x:f>VLOOKUP(C117,'Compatibility Gates'!$A$4:$I$70,3,FALSE)</x:f>
        <x:v>NOT_TESTED</x:v>
      </x:c>
      <x:c r="E117" s="101" t="str">
        <x:f>VLOOKUP(C117,'Compatibility Gates'!$A$4:$I$70,2,FALSE)</x:f>
        <x:v>machine</x:v>
      </x:c>
      <x:c r="F117" s="101" t="str">
        <x:f>VLOOKUP(C117,'Compatibility Gates'!$A$4:$I$70,4,FALSE)</x:f>
        <x:v>machine_configuration</x:v>
      </x:c>
    </x:row>
    <x:row r="118" ht="30" customHeight="1">
      <x:c r="A118" s="101" t="str">
        <x:v>05A</x:v>
      </x:c>
      <x:c r="B118" s="101" t="str">
        <x:v>05A_TPU_phone_tip_first_article.3mf</x:v>
      </x:c>
      <x:c r="C118" s="101" t="str">
        <x:v>tpu_profile_calibrated</x:v>
      </x:c>
      <x:c r="D118" s="101" t="str">
        <x:f>VLOOKUP(C118,'Compatibility Gates'!$A$4:$I$70,3,FALSE)</x:f>
        <x:v>NOT_TESTED</x:v>
      </x:c>
      <x:c r="E118" s="101" t="str">
        <x:f>VLOOKUP(C118,'Compatibility Gates'!$A$4:$I$70,2,FALSE)</x:f>
        <x:v>material</x:v>
      </x:c>
      <x:c r="F118" s="101" t="str">
        <x:f>VLOOKUP(C118,'Compatibility Gates'!$A$4:$I$70,4,FALSE)</x:f>
        <x:v>tpu95a_0p4</x:v>
      </x:c>
    </x:row>
    <x:row r="119" ht="30" customHeight="1">
      <x:c r="A119" s="101" t="str">
        <x:v>05A</x:v>
      </x:c>
      <x:c r="B119" s="101" t="str">
        <x:v>05A_TPU_phone_tip_first_article.3mf</x:v>
      </x:c>
      <x:c r="C119" s="101" t="str">
        <x:v>qidi_studio_roundtrip_confirmed</x:v>
      </x:c>
      <x:c r="D119" s="101" t="str">
        <x:f>VLOOKUP(C119,'Compatibility Gates'!$A$4:$I$70,3,FALSE)</x:f>
        <x:v>NOT_TESTED</x:v>
      </x:c>
      <x:c r="E119" s="101" t="str">
        <x:f>VLOOKUP(C119,'Compatibility Gates'!$A$4:$I$70,2,FALSE)</x:f>
        <x:v>release</x:v>
      </x:c>
      <x:c r="F119" s="101" t="str">
        <x:f>VLOOKUP(C119,'Compatibility Gates'!$A$4:$I$70,4,FALSE)</x:f>
        <x:v>all_active_profiles</x:v>
      </x:c>
    </x:row>
    <x:row r="120" ht="30" customHeight="1">
      <x:c r="A120" s="101" t="str">
        <x:v>05B</x:v>
      </x:c>
      <x:c r="B120" s="101" t="str">
        <x:v>05B_TPU_phone_tips_and_spares.3mf</x:v>
      </x:c>
      <x:c r="C120" s="101" t="str">
        <x:v>plus4_machine_confirmed</x:v>
      </x:c>
      <x:c r="D120" s="101" t="str">
        <x:f>VLOOKUP(C120,'Compatibility Gates'!$A$4:$I$70,3,FALSE)</x:f>
        <x:v>PASS</x:v>
      </x:c>
      <x:c r="E120" s="101" t="str">
        <x:f>VLOOKUP(C120,'Compatibility Gates'!$A$4:$I$70,2,FALSE)</x:f>
        <x:v>machine</x:v>
      </x:c>
      <x:c r="F120" s="101" t="str">
        <x:f>VLOOKUP(C120,'Compatibility Gates'!$A$4:$I$70,4,FALSE)</x:f>
        <x:v>machine_configuration</x:v>
      </x:c>
    </x:row>
    <x:row r="121" ht="30" customHeight="1">
      <x:c r="A121" s="101" t="str">
        <x:v>05B</x:v>
      </x:c>
      <x:c r="B121" s="101" t="str">
        <x:v>05B_TPU_phone_tips_and_spares.3mf</x:v>
      </x:c>
      <x:c r="C121" s="101" t="str">
        <x:v>nozzle_0p4_confirmed</x:v>
      </x:c>
      <x:c r="D121" s="101" t="str">
        <x:f>VLOOKUP(C121,'Compatibility Gates'!$A$4:$I$70,3,FALSE)</x:f>
        <x:v>NOT_TESTED</x:v>
      </x:c>
      <x:c r="E121" s="101" t="str">
        <x:f>VLOOKUP(C121,'Compatibility Gates'!$A$4:$I$70,2,FALSE)</x:f>
        <x:v>machine</x:v>
      </x:c>
      <x:c r="F121" s="101" t="str">
        <x:f>VLOOKUP(C121,'Compatibility Gates'!$A$4:$I$70,4,FALSE)</x:f>
        <x:v>machine_configuration</x:v>
      </x:c>
    </x:row>
    <x:row r="122" ht="30" customHeight="1">
      <x:c r="A122" s="101" t="str">
        <x:v>05B</x:v>
      </x:c>
      <x:c r="B122" s="101" t="str">
        <x:v>05B_TPU_phone_tips_and_spares.3mf</x:v>
      </x:c>
      <x:c r="C122" s="101" t="str">
        <x:v>tpu_profile_calibrated</x:v>
      </x:c>
      <x:c r="D122" s="101" t="str">
        <x:f>VLOOKUP(C122,'Compatibility Gates'!$A$4:$I$70,3,FALSE)</x:f>
        <x:v>NOT_TESTED</x:v>
      </x:c>
      <x:c r="E122" s="101" t="str">
        <x:f>VLOOKUP(C122,'Compatibility Gates'!$A$4:$I$70,2,FALSE)</x:f>
        <x:v>material</x:v>
      </x:c>
      <x:c r="F122" s="101" t="str">
        <x:f>VLOOKUP(C122,'Compatibility Gates'!$A$4:$I$70,4,FALSE)</x:f>
        <x:v>tpu95a_0p4</x:v>
      </x:c>
    </x:row>
    <x:row r="123" ht="30" customHeight="1">
      <x:c r="A123" s="101" t="str">
        <x:v>05B</x:v>
      </x:c>
      <x:c r="B123" s="101" t="str">
        <x:v>05B_TPU_phone_tips_and_spares.3mf</x:v>
      </x:c>
      <x:c r="C123" s="101" t="str">
        <x:v>phone_tpu_retention_coupon_pass</x:v>
      </x:c>
      <x:c r="D123" s="101" t="str">
        <x:f>VLOOKUP(C123,'Compatibility Gates'!$A$4:$I$70,3,FALSE)</x:f>
        <x:v>NOT_TESTED</x:v>
      </x:c>
      <x:c r="E123" s="101" t="str">
        <x:f>VLOOKUP(C123,'Compatibility Gates'!$A$4:$I$70,2,FALSE)</x:f>
        <x:v>coupon</x:v>
      </x:c>
      <x:c r="F123" s="101" t="str">
        <x:f>VLOOKUP(C123,'Compatibility Gates'!$A$4:$I$70,4,FALSE)</x:f>
        <x:v>tpu95a_0p4</x:v>
      </x:c>
    </x:row>
    <x:row r="124" ht="30" customHeight="1">
      <x:c r="A124" s="101" t="str">
        <x:v>05B</x:v>
      </x:c>
      <x:c r="B124" s="101" t="str">
        <x:v>05B_TPU_phone_tips_and_spares.3mf</x:v>
      </x:c>
      <x:c r="C124" s="101" t="str">
        <x:v>qidi_studio_roundtrip_confirmed</x:v>
      </x:c>
      <x:c r="D124" s="101" t="str">
        <x:f>VLOOKUP(C124,'Compatibility Gates'!$A$4:$I$70,3,FALSE)</x:f>
        <x:v>NOT_TESTED</x:v>
      </x:c>
      <x:c r="E124" s="101" t="str">
        <x:f>VLOOKUP(C124,'Compatibility Gates'!$A$4:$I$70,2,FALSE)</x:f>
        <x:v>release</x:v>
      </x:c>
      <x:c r="F124" s="101" t="str">
        <x:f>VLOOKUP(C124,'Compatibility Gates'!$A$4:$I$70,4,FALSE)</x:f>
        <x:v>all_active_profiles</x:v>
      </x:c>
    </x:row>
    <x:row r="125" ht="30" customHeight="1">
      <x:c r="A125" s="101" t="str">
        <x:v>05C</x:v>
      </x:c>
      <x:c r="B125" s="101" t="str">
        <x:v>05C_TPU_keyboard_tip_first_article.3mf</x:v>
      </x:c>
      <x:c r="C125" s="101" t="str">
        <x:v>plus4_machine_confirmed</x:v>
      </x:c>
      <x:c r="D125" s="101" t="str">
        <x:f>VLOOKUP(C125,'Compatibility Gates'!$A$4:$I$70,3,FALSE)</x:f>
        <x:v>PASS</x:v>
      </x:c>
      <x:c r="E125" s="101" t="str">
        <x:f>VLOOKUP(C125,'Compatibility Gates'!$A$4:$I$70,2,FALSE)</x:f>
        <x:v>machine</x:v>
      </x:c>
      <x:c r="F125" s="101" t="str">
        <x:f>VLOOKUP(C125,'Compatibility Gates'!$A$4:$I$70,4,FALSE)</x:f>
        <x:v>machine_configuration</x:v>
      </x:c>
    </x:row>
    <x:row r="126" ht="30" customHeight="1">
      <x:c r="A126" s="101" t="str">
        <x:v>05C</x:v>
      </x:c>
      <x:c r="B126" s="101" t="str">
        <x:v>05C_TPU_keyboard_tip_first_article.3mf</x:v>
      </x:c>
      <x:c r="C126" s="101" t="str">
        <x:v>nozzle_0p4_confirmed</x:v>
      </x:c>
      <x:c r="D126" s="101" t="str">
        <x:f>VLOOKUP(C126,'Compatibility Gates'!$A$4:$I$70,3,FALSE)</x:f>
        <x:v>NOT_TESTED</x:v>
      </x:c>
      <x:c r="E126" s="101" t="str">
        <x:f>VLOOKUP(C126,'Compatibility Gates'!$A$4:$I$70,2,FALSE)</x:f>
        <x:v>machine</x:v>
      </x:c>
      <x:c r="F126" s="101" t="str">
        <x:f>VLOOKUP(C126,'Compatibility Gates'!$A$4:$I$70,4,FALSE)</x:f>
        <x:v>machine_configuration</x:v>
      </x:c>
    </x:row>
    <x:row r="127" ht="30" customHeight="1">
      <x:c r="A127" s="101" t="str">
        <x:v>05C</x:v>
      </x:c>
      <x:c r="B127" s="101" t="str">
        <x:v>05C_TPU_keyboard_tip_first_article.3mf</x:v>
      </x:c>
      <x:c r="C127" s="101" t="str">
        <x:v>tpu_profile_calibrated</x:v>
      </x:c>
      <x:c r="D127" s="101" t="str">
        <x:f>VLOOKUP(C127,'Compatibility Gates'!$A$4:$I$70,3,FALSE)</x:f>
        <x:v>NOT_TESTED</x:v>
      </x:c>
      <x:c r="E127" s="101" t="str">
        <x:f>VLOOKUP(C127,'Compatibility Gates'!$A$4:$I$70,2,FALSE)</x:f>
        <x:v>material</x:v>
      </x:c>
      <x:c r="F127" s="101" t="str">
        <x:f>VLOOKUP(C127,'Compatibility Gates'!$A$4:$I$70,4,FALSE)</x:f>
        <x:v>tpu95a_0p4</x:v>
      </x:c>
    </x:row>
    <x:row r="128" ht="30" customHeight="1">
      <x:c r="A128" s="101" t="str">
        <x:v>05C</x:v>
      </x:c>
      <x:c r="B128" s="101" t="str">
        <x:v>05C_TPU_keyboard_tip_first_article.3mf</x:v>
      </x:c>
      <x:c r="C128" s="101" t="str">
        <x:v>keyboard_rod_measured</x:v>
      </x:c>
      <x:c r="D128" s="101" t="str">
        <x:f>VLOOKUP(C128,'Compatibility Gates'!$A$4:$I$70,3,FALSE)</x:f>
        <x:v>NOT_TESTED</x:v>
      </x:c>
      <x:c r="E128" s="101" t="str">
        <x:f>VLOOKUP(C128,'Compatibility Gates'!$A$4:$I$70,2,FALSE)</x:f>
        <x:v>measurement</x:v>
      </x:c>
      <x:c r="F128" s="101" t="str">
        <x:f>VLOOKUP(C128,'Compatibility Gates'!$A$4:$I$70,4,FALSE)</x:f>
        <x:v>petg_adapter_0p4</x:v>
      </x:c>
    </x:row>
    <x:row r="129" ht="30" customHeight="1">
      <x:c r="A129" s="101" t="str">
        <x:v>05C</x:v>
      </x:c>
      <x:c r="B129" s="101" t="str">
        <x:v>05C_TPU_keyboard_tip_first_article.3mf</x:v>
      </x:c>
      <x:c r="C129" s="101" t="str">
        <x:v>qidi_studio_roundtrip_confirmed</x:v>
      </x:c>
      <x:c r="D129" s="101" t="str">
        <x:f>VLOOKUP(C129,'Compatibility Gates'!$A$4:$I$70,3,FALSE)</x:f>
        <x:v>NOT_TESTED</x:v>
      </x:c>
      <x:c r="E129" s="101" t="str">
        <x:f>VLOOKUP(C129,'Compatibility Gates'!$A$4:$I$70,2,FALSE)</x:f>
        <x:v>release</x:v>
      </x:c>
      <x:c r="F129" s="101" t="str">
        <x:f>VLOOKUP(C129,'Compatibility Gates'!$A$4:$I$70,4,FALSE)</x:f>
        <x:v>all_active_profiles</x:v>
      </x:c>
    </x:row>
    <x:row r="130" ht="30" customHeight="1">
      <x:c r="A130" s="101" t="str">
        <x:v>05D</x:v>
      </x:c>
      <x:c r="B130" s="101" t="str">
        <x:v>05D_TPU_keyboard_tips_and_spares.3mf</x:v>
      </x:c>
      <x:c r="C130" s="101" t="str">
        <x:v>plus4_machine_confirmed</x:v>
      </x:c>
      <x:c r="D130" s="101" t="str">
        <x:f>VLOOKUP(C130,'Compatibility Gates'!$A$4:$I$70,3,FALSE)</x:f>
        <x:v>PASS</x:v>
      </x:c>
      <x:c r="E130" s="101" t="str">
        <x:f>VLOOKUP(C130,'Compatibility Gates'!$A$4:$I$70,2,FALSE)</x:f>
        <x:v>machine</x:v>
      </x:c>
      <x:c r="F130" s="101" t="str">
        <x:f>VLOOKUP(C130,'Compatibility Gates'!$A$4:$I$70,4,FALSE)</x:f>
        <x:v>machine_configuration</x:v>
      </x:c>
    </x:row>
    <x:row r="131" ht="30" customHeight="1">
      <x:c r="A131" s="101" t="str">
        <x:v>05D</x:v>
      </x:c>
      <x:c r="B131" s="101" t="str">
        <x:v>05D_TPU_keyboard_tips_and_spares.3mf</x:v>
      </x:c>
      <x:c r="C131" s="101" t="str">
        <x:v>nozzle_0p4_confirmed</x:v>
      </x:c>
      <x:c r="D131" s="101" t="str">
        <x:f>VLOOKUP(C131,'Compatibility Gates'!$A$4:$I$70,3,FALSE)</x:f>
        <x:v>NOT_TESTED</x:v>
      </x:c>
      <x:c r="E131" s="101" t="str">
        <x:f>VLOOKUP(C131,'Compatibility Gates'!$A$4:$I$70,2,FALSE)</x:f>
        <x:v>machine</x:v>
      </x:c>
      <x:c r="F131" s="101" t="str">
        <x:f>VLOOKUP(C131,'Compatibility Gates'!$A$4:$I$70,4,FALSE)</x:f>
        <x:v>machine_configuration</x:v>
      </x:c>
    </x:row>
    <x:row r="132" ht="30" customHeight="1">
      <x:c r="A132" s="101" t="str">
        <x:v>05D</x:v>
      </x:c>
      <x:c r="B132" s="101" t="str">
        <x:v>05D_TPU_keyboard_tips_and_spares.3mf</x:v>
      </x:c>
      <x:c r="C132" s="101" t="str">
        <x:v>tpu_profile_calibrated</x:v>
      </x:c>
      <x:c r="D132" s="101" t="str">
        <x:f>VLOOKUP(C132,'Compatibility Gates'!$A$4:$I$70,3,FALSE)</x:f>
        <x:v>NOT_TESTED</x:v>
      </x:c>
      <x:c r="E132" s="101" t="str">
        <x:f>VLOOKUP(C132,'Compatibility Gates'!$A$4:$I$70,2,FALSE)</x:f>
        <x:v>material</x:v>
      </x:c>
      <x:c r="F132" s="101" t="str">
        <x:f>VLOOKUP(C132,'Compatibility Gates'!$A$4:$I$70,4,FALSE)</x:f>
        <x:v>tpu95a_0p4</x:v>
      </x:c>
    </x:row>
    <x:row r="133" ht="30" customHeight="1">
      <x:c r="A133" s="101" t="str">
        <x:v>05D</x:v>
      </x:c>
      <x:c r="B133" s="101" t="str">
        <x:v>05D_TPU_keyboard_tips_and_spares.3mf</x:v>
      </x:c>
      <x:c r="C133" s="101" t="str">
        <x:v>keyboard_rod_measured</x:v>
      </x:c>
      <x:c r="D133" s="101" t="str">
        <x:f>VLOOKUP(C133,'Compatibility Gates'!$A$4:$I$70,3,FALSE)</x:f>
        <x:v>NOT_TESTED</x:v>
      </x:c>
      <x:c r="E133" s="101" t="str">
        <x:f>VLOOKUP(C133,'Compatibility Gates'!$A$4:$I$70,2,FALSE)</x:f>
        <x:v>measurement</x:v>
      </x:c>
      <x:c r="F133" s="101" t="str">
        <x:f>VLOOKUP(C133,'Compatibility Gates'!$A$4:$I$70,4,FALSE)</x:f>
        <x:v>petg_adapter_0p4</x:v>
      </x:c>
    </x:row>
    <x:row r="134" ht="30" customHeight="1">
      <x:c r="A134" s="101" t="str">
        <x:v>05D</x:v>
      </x:c>
      <x:c r="B134" s="101" t="str">
        <x:v>05D_TPU_keyboard_tips_and_spares.3mf</x:v>
      </x:c>
      <x:c r="C134" s="101" t="str">
        <x:v>keyboard_tpu_retention_coupon_pass</x:v>
      </x:c>
      <x:c r="D134" s="101" t="str">
        <x:f>VLOOKUP(C134,'Compatibility Gates'!$A$4:$I$70,3,FALSE)</x:f>
        <x:v>NOT_TESTED</x:v>
      </x:c>
      <x:c r="E134" s="101" t="str">
        <x:f>VLOOKUP(C134,'Compatibility Gates'!$A$4:$I$70,2,FALSE)</x:f>
        <x:v>coupon</x:v>
      </x:c>
      <x:c r="F134" s="101" t="str">
        <x:f>VLOOKUP(C134,'Compatibility Gates'!$A$4:$I$70,4,FALSE)</x:f>
        <x:v>tpu95a_0p4</x:v>
      </x:c>
    </x:row>
    <x:row r="135" ht="30" customHeight="1">
      <x:c r="A135" s="101" t="str">
        <x:v>05D</x:v>
      </x:c>
      <x:c r="B135" s="101" t="str">
        <x:v>05D_TPU_keyboard_tips_and_spares.3mf</x:v>
      </x:c>
      <x:c r="C135" s="101" t="str">
        <x:v>qidi_studio_roundtrip_confirmed</x:v>
      </x:c>
      <x:c r="D135" s="101" t="str">
        <x:f>VLOOKUP(C135,'Compatibility Gates'!$A$4:$I$70,3,FALSE)</x:f>
        <x:v>NOT_TESTED</x:v>
      </x:c>
      <x:c r="E135" s="101" t="str">
        <x:f>VLOOKUP(C135,'Compatibility Gates'!$A$4:$I$70,2,FALSE)</x:f>
        <x:v>release</x:v>
      </x:c>
      <x:c r="F135" s="101" t="str">
        <x:f>VLOOKUP(C135,'Compatibility Gates'!$A$4:$I$70,4,FALSE)</x:f>
        <x:v>all_active_profiles</x:v>
      </x:c>
    </x:row>
    <x:row r="136" ht="30" customHeight="1">
      <x:c r="A136" s="101" t="str">
        <x:v>06</x:v>
      </x:c>
      <x:c r="B136" s="101" t="str">
        <x:v>06_ASA_mast_fit_tests.3mf</x:v>
      </x:c>
      <x:c r="C136" s="101" t="str">
        <x:v>plus4_machine_confirmed</x:v>
      </x:c>
      <x:c r="D136" s="101" t="str">
        <x:f>VLOOKUP(C136,'Compatibility Gates'!$A$4:$I$70,3,FALSE)</x:f>
        <x:v>PASS</x:v>
      </x:c>
      <x:c r="E136" s="101" t="str">
        <x:f>VLOOKUP(C136,'Compatibility Gates'!$A$4:$I$70,2,FALSE)</x:f>
        <x:v>machine</x:v>
      </x:c>
      <x:c r="F136" s="101" t="str">
        <x:f>VLOOKUP(C136,'Compatibility Gates'!$A$4:$I$70,4,FALSE)</x:f>
        <x:v>machine_configuration</x:v>
      </x:c>
    </x:row>
    <x:row r="137" ht="30" customHeight="1">
      <x:c r="A137" s="101" t="str">
        <x:v>06</x:v>
      </x:c>
      <x:c r="B137" s="101" t="str">
        <x:v>06_ASA_mast_fit_tests.3mf</x:v>
      </x:c>
      <x:c r="C137" s="101" t="str">
        <x:v>nozzle_0p4_confirmed</x:v>
      </x:c>
      <x:c r="D137" s="101" t="str">
        <x:f>VLOOKUP(C137,'Compatibility Gates'!$A$4:$I$70,3,FALSE)</x:f>
        <x:v>NOT_TESTED</x:v>
      </x:c>
      <x:c r="E137" s="101" t="str">
        <x:f>VLOOKUP(C137,'Compatibility Gates'!$A$4:$I$70,2,FALSE)</x:f>
        <x:v>machine</x:v>
      </x:c>
      <x:c r="F137" s="101" t="str">
        <x:f>VLOOKUP(C137,'Compatibility Gates'!$A$4:$I$70,4,FALSE)</x:f>
        <x:v>machine_configuration</x:v>
      </x:c>
    </x:row>
    <x:row r="138" ht="30" customHeight="1">
      <x:c r="A138" s="101" t="str">
        <x:v>06</x:v>
      </x:c>
      <x:c r="B138" s="101" t="str">
        <x:v>06_ASA_mast_fit_tests.3mf</x:v>
      </x:c>
      <x:c r="C138" s="101" t="str">
        <x:v>asa_profile_calibrated</x:v>
      </x:c>
      <x:c r="D138" s="101" t="str">
        <x:f>VLOOKUP(C138,'Compatibility Gates'!$A$4:$I$70,3,FALSE)</x:f>
        <x:v>NOT_TESTED</x:v>
      </x:c>
      <x:c r="E138" s="101" t="str">
        <x:f>VLOOKUP(C138,'Compatibility Gates'!$A$4:$I$70,2,FALSE)</x:f>
        <x:v>material</x:v>
      </x:c>
      <x:c r="F138" s="101" t="str">
        <x:f>VLOOKUP(C138,'Compatibility Gates'!$A$4:$I$70,4,FALSE)</x:f>
        <x:v>asa_structural_0p4</x:v>
      </x:c>
    </x:row>
    <x:row r="139" ht="30" customHeight="1">
      <x:c r="A139" s="101" t="str">
        <x:v>07A</x:v>
      </x:c>
      <x:c r="B139" s="101" t="str">
        <x:v>07A_ASA_mast_foot_first_article.3mf</x:v>
      </x:c>
      <x:c r="C139" s="101" t="str">
        <x:v>plus4_machine_confirmed</x:v>
      </x:c>
      <x:c r="D139" s="101" t="str">
        <x:f>VLOOKUP(C139,'Compatibility Gates'!$A$4:$I$70,3,FALSE)</x:f>
        <x:v>PASS</x:v>
      </x:c>
      <x:c r="E139" s="101" t="str">
        <x:f>VLOOKUP(C139,'Compatibility Gates'!$A$4:$I$70,2,FALSE)</x:f>
        <x:v>machine</x:v>
      </x:c>
      <x:c r="F139" s="101" t="str">
        <x:f>VLOOKUP(C139,'Compatibility Gates'!$A$4:$I$70,4,FALSE)</x:f>
        <x:v>machine_configuration</x:v>
      </x:c>
    </x:row>
    <x:row r="140" ht="30" customHeight="1">
      <x:c r="A140" s="101" t="str">
        <x:v>07A</x:v>
      </x:c>
      <x:c r="B140" s="101" t="str">
        <x:v>07A_ASA_mast_foot_first_article.3mf</x:v>
      </x:c>
      <x:c r="C140" s="101" t="str">
        <x:v>nozzle_0p4_confirmed</x:v>
      </x:c>
      <x:c r="D140" s="101" t="str">
        <x:f>VLOOKUP(C140,'Compatibility Gates'!$A$4:$I$70,3,FALSE)</x:f>
        <x:v>NOT_TESTED</x:v>
      </x:c>
      <x:c r="E140" s="101" t="str">
        <x:f>VLOOKUP(C140,'Compatibility Gates'!$A$4:$I$70,2,FALSE)</x:f>
        <x:v>machine</x:v>
      </x:c>
      <x:c r="F140" s="101" t="str">
        <x:f>VLOOKUP(C140,'Compatibility Gates'!$A$4:$I$70,4,FALSE)</x:f>
        <x:v>machine_configuration</x:v>
      </x:c>
    </x:row>
    <x:row r="141" ht="30" customHeight="1">
      <x:c r="A141" s="101" t="str">
        <x:v>07A</x:v>
      </x:c>
      <x:c r="B141" s="101" t="str">
        <x:v>07A_ASA_mast_foot_first_article.3mf</x:v>
      </x:c>
      <x:c r="C141" s="101" t="str">
        <x:v>asa_profile_calibrated</x:v>
      </x:c>
      <x:c r="D141" s="101" t="str">
        <x:f>VLOOKUP(C141,'Compatibility Gates'!$A$4:$I$70,3,FALSE)</x:f>
        <x:v>NOT_TESTED</x:v>
      </x:c>
      <x:c r="E141" s="101" t="str">
        <x:f>VLOOKUP(C141,'Compatibility Gates'!$A$4:$I$70,2,FALSE)</x:f>
        <x:v>material</x:v>
      </x:c>
      <x:c r="F141" s="101" t="str">
        <x:f>VLOOKUP(C141,'Compatibility Gates'!$A$4:$I$70,4,FALSE)</x:f>
        <x:v>asa_structural_0p4</x:v>
      </x:c>
    </x:row>
    <x:row r="142" ht="30" customHeight="1">
      <x:c r="A142" s="101" t="str">
        <x:v>07A</x:v>
      </x:c>
      <x:c r="B142" s="101" t="str">
        <x:v>07A_ASA_mast_foot_first_article.3mf</x:v>
      </x:c>
      <x:c r="C142" s="101" t="str">
        <x:v>asa_mast_socket_coupon_pass</x:v>
      </x:c>
      <x:c r="D142" s="101" t="str">
        <x:f>VLOOKUP(C142,'Compatibility Gates'!$A$4:$I$70,3,FALSE)</x:f>
        <x:v>NOT_TESTED</x:v>
      </x:c>
      <x:c r="E142" s="101" t="str">
        <x:f>VLOOKUP(C142,'Compatibility Gates'!$A$4:$I$70,2,FALSE)</x:f>
        <x:v>coupon</x:v>
      </x:c>
      <x:c r="F142" s="101" t="str">
        <x:f>VLOOKUP(C142,'Compatibility Gates'!$A$4:$I$70,4,FALSE)</x:f>
        <x:v>asa_structural_0p4</x:v>
      </x:c>
    </x:row>
    <x:row r="143" ht="30" customHeight="1">
      <x:c r="A143" s="101" t="str">
        <x:v>07A</x:v>
      </x:c>
      <x:c r="B143" s="101" t="str">
        <x:v>07A_ASA_mast_foot_first_article.3mf</x:v>
      </x:c>
      <x:c r="C143" s="101" t="str">
        <x:v>asa_m5_nut_coupon_pass</x:v>
      </x:c>
      <x:c r="D143" s="101" t="str">
        <x:f>VLOOKUP(C143,'Compatibility Gates'!$A$4:$I$70,3,FALSE)</x:f>
        <x:v>NOT_TESTED</x:v>
      </x:c>
      <x:c r="E143" s="101" t="str">
        <x:f>VLOOKUP(C143,'Compatibility Gates'!$A$4:$I$70,2,FALSE)</x:f>
        <x:v>coupon</x:v>
      </x:c>
      <x:c r="F143" s="101" t="str">
        <x:f>VLOOKUP(C143,'Compatibility Gates'!$A$4:$I$70,4,FALSE)</x:f>
        <x:v>asa_structural_0p4</x:v>
      </x:c>
    </x:row>
    <x:row r="144" ht="30" customHeight="1">
      <x:c r="A144" s="101" t="str">
        <x:v>07A</x:v>
      </x:c>
      <x:c r="B144" s="101" t="str">
        <x:v>07A_ASA_mast_foot_first_article.3mf</x:v>
      </x:c>
      <x:c r="C144" s="101" t="str">
        <x:v>asa_m5_clearance_coupon_pass</x:v>
      </x:c>
      <x:c r="D144" s="101" t="str">
        <x:f>VLOOKUP(C144,'Compatibility Gates'!$A$4:$I$70,3,FALSE)</x:f>
        <x:v>NOT_TESTED</x:v>
      </x:c>
      <x:c r="E144" s="101" t="str">
        <x:f>VLOOKUP(C144,'Compatibility Gates'!$A$4:$I$70,2,FALSE)</x:f>
        <x:v>coupon</x:v>
      </x:c>
      <x:c r="F144" s="101" t="str">
        <x:f>VLOOKUP(C144,'Compatibility Gates'!$A$4:$I$70,4,FALSE)</x:f>
        <x:v>asa_structural_0p4</x:v>
      </x:c>
    </x:row>
    <x:row r="145" ht="30" customHeight="1">
      <x:c r="A145" s="101" t="str">
        <x:v>07A</x:v>
      </x:c>
      <x:c r="B145" s="101" t="str">
        <x:v>07A_ASA_mast_foot_first_article.3mf</x:v>
      </x:c>
      <x:c r="C145" s="101" t="str">
        <x:v>geometry_matches_measurements</x:v>
      </x:c>
      <x:c r="D145" s="101" t="str">
        <x:f>VLOOKUP(C145,'Compatibility Gates'!$A$4:$I$70,3,FALSE)</x:f>
        <x:v>NOT_TESTED</x:v>
      </x:c>
      <x:c r="E145" s="101" t="str">
        <x:f>VLOOKUP(C145,'Compatibility Gates'!$A$4:$I$70,2,FALSE)</x:f>
        <x:v>release</x:v>
      </x:c>
      <x:c r="F145" s="101" t="str">
        <x:f>VLOOKUP(C145,'Compatibility Gates'!$A$4:$I$70,4,FALSE)</x:f>
        <x:v>generated_geometry</x:v>
      </x:c>
    </x:row>
    <x:row r="146" ht="30" customHeight="1">
      <x:c r="A146" s="101" t="str">
        <x:v>07A</x:v>
      </x:c>
      <x:c r="B146" s="101" t="str">
        <x:v>07A_ASA_mast_foot_first_article.3mf</x:v>
      </x:c>
      <x:c r="C146" s="101" t="str">
        <x:v>qidi_studio_roundtrip_confirmed</x:v>
      </x:c>
      <x:c r="D146" s="101" t="str">
        <x:f>VLOOKUP(C146,'Compatibility Gates'!$A$4:$I$70,3,FALSE)</x:f>
        <x:v>NOT_TESTED</x:v>
      </x:c>
      <x:c r="E146" s="101" t="str">
        <x:f>VLOOKUP(C146,'Compatibility Gates'!$A$4:$I$70,2,FALSE)</x:f>
        <x:v>release</x:v>
      </x:c>
      <x:c r="F146" s="101" t="str">
        <x:f>VLOOKUP(C146,'Compatibility Gates'!$A$4:$I$70,4,FALSE)</x:f>
        <x:v>all_active_profiles</x:v>
      </x:c>
    </x:row>
    <x:row r="147" ht="30" customHeight="1">
      <x:c r="A147" s="101" t="str">
        <x:v>07B</x:v>
      </x:c>
      <x:c r="B147" s="101" t="str">
        <x:v>07B_ASA_mast_foot_second.3mf</x:v>
      </x:c>
      <x:c r="C147" s="101" t="str">
        <x:v>plus4_machine_confirmed</x:v>
      </x:c>
      <x:c r="D147" s="101" t="str">
        <x:f>VLOOKUP(C147,'Compatibility Gates'!$A$4:$I$70,3,FALSE)</x:f>
        <x:v>PASS</x:v>
      </x:c>
      <x:c r="E147" s="101" t="str">
        <x:f>VLOOKUP(C147,'Compatibility Gates'!$A$4:$I$70,2,FALSE)</x:f>
        <x:v>machine</x:v>
      </x:c>
      <x:c r="F147" s="101" t="str">
        <x:f>VLOOKUP(C147,'Compatibility Gates'!$A$4:$I$70,4,FALSE)</x:f>
        <x:v>machine_configuration</x:v>
      </x:c>
    </x:row>
    <x:row r="148" ht="30" customHeight="1">
      <x:c r="A148" s="101" t="str">
        <x:v>07B</x:v>
      </x:c>
      <x:c r="B148" s="101" t="str">
        <x:v>07B_ASA_mast_foot_second.3mf</x:v>
      </x:c>
      <x:c r="C148" s="101" t="str">
        <x:v>nozzle_0p4_confirmed</x:v>
      </x:c>
      <x:c r="D148" s="101" t="str">
        <x:f>VLOOKUP(C148,'Compatibility Gates'!$A$4:$I$70,3,FALSE)</x:f>
        <x:v>NOT_TESTED</x:v>
      </x:c>
      <x:c r="E148" s="101" t="str">
        <x:f>VLOOKUP(C148,'Compatibility Gates'!$A$4:$I$70,2,FALSE)</x:f>
        <x:v>machine</x:v>
      </x:c>
      <x:c r="F148" s="101" t="str">
        <x:f>VLOOKUP(C148,'Compatibility Gates'!$A$4:$I$70,4,FALSE)</x:f>
        <x:v>machine_configuration</x:v>
      </x:c>
    </x:row>
    <x:row r="149" ht="30" customHeight="1">
      <x:c r="A149" s="101" t="str">
        <x:v>07B</x:v>
      </x:c>
      <x:c r="B149" s="101" t="str">
        <x:v>07B_ASA_mast_foot_second.3mf</x:v>
      </x:c>
      <x:c r="C149" s="101" t="str">
        <x:v>asa_profile_calibrated</x:v>
      </x:c>
      <x:c r="D149" s="101" t="str">
        <x:f>VLOOKUP(C149,'Compatibility Gates'!$A$4:$I$70,3,FALSE)</x:f>
        <x:v>NOT_TESTED</x:v>
      </x:c>
      <x:c r="E149" s="101" t="str">
        <x:f>VLOOKUP(C149,'Compatibility Gates'!$A$4:$I$70,2,FALSE)</x:f>
        <x:v>material</x:v>
      </x:c>
      <x:c r="F149" s="101" t="str">
        <x:f>VLOOKUP(C149,'Compatibility Gates'!$A$4:$I$70,4,FALSE)</x:f>
        <x:v>asa_structural_0p4</x:v>
      </x:c>
    </x:row>
    <x:row r="150" ht="30" customHeight="1">
      <x:c r="A150" s="101" t="str">
        <x:v>07B</x:v>
      </x:c>
      <x:c r="B150" s="101" t="str">
        <x:v>07B_ASA_mast_foot_second.3mf</x:v>
      </x:c>
      <x:c r="C150" s="101" t="str">
        <x:v>asa_mast_socket_coupon_pass</x:v>
      </x:c>
      <x:c r="D150" s="101" t="str">
        <x:f>VLOOKUP(C150,'Compatibility Gates'!$A$4:$I$70,3,FALSE)</x:f>
        <x:v>NOT_TESTED</x:v>
      </x:c>
      <x:c r="E150" s="101" t="str">
        <x:f>VLOOKUP(C150,'Compatibility Gates'!$A$4:$I$70,2,FALSE)</x:f>
        <x:v>coupon</x:v>
      </x:c>
      <x:c r="F150" s="101" t="str">
        <x:f>VLOOKUP(C150,'Compatibility Gates'!$A$4:$I$70,4,FALSE)</x:f>
        <x:v>asa_structural_0p4</x:v>
      </x:c>
    </x:row>
    <x:row r="151" ht="30" customHeight="1">
      <x:c r="A151" s="101" t="str">
        <x:v>07B</x:v>
      </x:c>
      <x:c r="B151" s="101" t="str">
        <x:v>07B_ASA_mast_foot_second.3mf</x:v>
      </x:c>
      <x:c r="C151" s="101" t="str">
        <x:v>asa_m5_nut_coupon_pass</x:v>
      </x:c>
      <x:c r="D151" s="101" t="str">
        <x:f>VLOOKUP(C151,'Compatibility Gates'!$A$4:$I$70,3,FALSE)</x:f>
        <x:v>NOT_TESTED</x:v>
      </x:c>
      <x:c r="E151" s="101" t="str">
        <x:f>VLOOKUP(C151,'Compatibility Gates'!$A$4:$I$70,2,FALSE)</x:f>
        <x:v>coupon</x:v>
      </x:c>
      <x:c r="F151" s="101" t="str">
        <x:f>VLOOKUP(C151,'Compatibility Gates'!$A$4:$I$70,4,FALSE)</x:f>
        <x:v>asa_structural_0p4</x:v>
      </x:c>
    </x:row>
    <x:row r="152" ht="30" customHeight="1">
      <x:c r="A152" s="101" t="str">
        <x:v>07B</x:v>
      </x:c>
      <x:c r="B152" s="101" t="str">
        <x:v>07B_ASA_mast_foot_second.3mf</x:v>
      </x:c>
      <x:c r="C152" s="101" t="str">
        <x:v>asa_m5_clearance_coupon_pass</x:v>
      </x:c>
      <x:c r="D152" s="101" t="str">
        <x:f>VLOOKUP(C152,'Compatibility Gates'!$A$4:$I$70,3,FALSE)</x:f>
        <x:v>NOT_TESTED</x:v>
      </x:c>
      <x:c r="E152" s="101" t="str">
        <x:f>VLOOKUP(C152,'Compatibility Gates'!$A$4:$I$70,2,FALSE)</x:f>
        <x:v>coupon</x:v>
      </x:c>
      <x:c r="F152" s="101" t="str">
        <x:f>VLOOKUP(C152,'Compatibility Gates'!$A$4:$I$70,4,FALSE)</x:f>
        <x:v>asa_structural_0p4</x:v>
      </x:c>
    </x:row>
    <x:row r="153" ht="30" customHeight="1">
      <x:c r="A153" s="101" t="str">
        <x:v>07B</x:v>
      </x:c>
      <x:c r="B153" s="101" t="str">
        <x:v>07B_ASA_mast_foot_second.3mf</x:v>
      </x:c>
      <x:c r="C153" s="101" t="str">
        <x:v>geometry_matches_measurements</x:v>
      </x:c>
      <x:c r="D153" s="101" t="str">
        <x:f>VLOOKUP(C153,'Compatibility Gates'!$A$4:$I$70,3,FALSE)</x:f>
        <x:v>NOT_TESTED</x:v>
      </x:c>
      <x:c r="E153" s="101" t="str">
        <x:f>VLOOKUP(C153,'Compatibility Gates'!$A$4:$I$70,2,FALSE)</x:f>
        <x:v>release</x:v>
      </x:c>
      <x:c r="F153" s="101" t="str">
        <x:f>VLOOKUP(C153,'Compatibility Gates'!$A$4:$I$70,4,FALSE)</x:f>
        <x:v>generated_geometry</x:v>
      </x:c>
    </x:row>
    <x:row r="154" ht="30" customHeight="1">
      <x:c r="A154" s="101" t="str">
        <x:v>07B</x:v>
      </x:c>
      <x:c r="B154" s="101" t="str">
        <x:v>07B_ASA_mast_foot_second.3mf</x:v>
      </x:c>
      <x:c r="C154" s="101" t="str">
        <x:v>mast_foot_first_article_pass</x:v>
      </x:c>
      <x:c r="D154" s="101" t="str">
        <x:f>VLOOKUP(C154,'Compatibility Gates'!$A$4:$I$70,3,FALSE)</x:f>
        <x:v>NOT_TESTED</x:v>
      </x:c>
      <x:c r="E154" s="101" t="str">
        <x:f>VLOOKUP(C154,'Compatibility Gates'!$A$4:$I$70,2,FALSE)</x:f>
        <x:v>first_article</x:v>
      </x:c>
      <x:c r="F154" s="101" t="str">
        <x:f>VLOOKUP(C154,'Compatibility Gates'!$A$4:$I$70,4,FALSE)</x:f>
        <x:v>asa_structural_0p4</x:v>
      </x:c>
    </x:row>
    <x:row r="155" ht="30" customHeight="1">
      <x:c r="A155" s="101" t="str">
        <x:v>07B</x:v>
      </x:c>
      <x:c r="B155" s="101" t="str">
        <x:v>07B_ASA_mast_foot_second.3mf</x:v>
      </x:c>
      <x:c r="C155" s="101" t="str">
        <x:v>qidi_studio_roundtrip_confirmed</x:v>
      </x:c>
      <x:c r="D155" s="101" t="str">
        <x:f>VLOOKUP(C155,'Compatibility Gates'!$A$4:$I$70,3,FALSE)</x:f>
        <x:v>NOT_TESTED</x:v>
      </x:c>
      <x:c r="E155" s="101" t="str">
        <x:f>VLOOKUP(C155,'Compatibility Gates'!$A$4:$I$70,2,FALSE)</x:f>
        <x:v>release</x:v>
      </x:c>
      <x:c r="F155" s="101" t="str">
        <x:f>VLOOKUP(C155,'Compatibility Gates'!$A$4:$I$70,4,FALSE)</x:f>
        <x:v>all_active_profiles</x:v>
      </x:c>
    </x:row>
  </x:sheetData>
  <x:mergeCells>
    <x:mergeCell ref="A1:F1"/>
  </x:mergeCells>
  <x:conditionalFormatting sqref="D4:D155">
    <x:cfRule type="containsText" dxfId="6" priority="1" operator="containsText" text="PASS"/>
    <x:cfRule type="containsText" dxfId="7" priority="2" operator="containsText" text="READY"/>
    <x:cfRule type="containsText" dxfId="8" priority="3" operator="containsText" text="WAITING"/>
    <x:cfRule type="containsText" dxfId="9" priority="4" operator="containsText" text="NOT_TESTED"/>
    <x:cfRule type="containsText" dxfId="10" priority="5" operator="containsText" text="FAIL"/>
    <x:cfRule type="containsText" dxfId="11" priority="6" operator="containsText" text="NOT_SELECTED"/>
  </x:conditionalFormatting>
  <x:pageMargins left="0.7" right="0.7" top="0.75" bottom="0.75" header="0.3" footer="0.3"/>
  <x:tableParts count="1">
    <x:tablePart xmlns:r="http://schemas.openxmlformats.org/officeDocument/2006/relationships" r:id="R6a5f66a351ed44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22" hidden="0" customWidth="1"/>
    <x:col min="4" max="4" width="12" hidden="0" customWidth="1"/>
    <x:col min="5" max="5" width="16" hidden="0" customWidth="1"/>
    <x:col min="6" max="6" width="28" hidden="0" customWidth="1"/>
    <x:col min="7" max="7" width="14" hidden="0" customWidth="1"/>
    <x:col min="8" max="8" width="12" hidden="0" customWidth="1"/>
    <x:col min="9" max="9" width="46" hidden="0" customWidth="1"/>
    <x:col min="10" max="10" width="10" hidden="0" customWidth="1"/>
    <x:col min="11" max="11" width="14" hidden="0" customWidth="1"/>
    <x:col min="12" max="12" width="54" hidden="0" customWidth="1"/>
    <x:col min="13" max="13" width="54" hidden="0" customWidth="1"/>
    <x:col min="14" max="14" width="20" hidden="0" customWidth="1"/>
    <x:col min="15" max="15" width="20" hidden="0" customWidth="1"/>
  </x:cols>
  <x:sheetData>
    <x:row r="1" ht="30" customHeight="1">
      <x:c r="A1" s="86" t="str">
        <x:v>Measured Print Queue - formula-driven route and gate status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</x:row>
    <x:row r="3" ht="30" customHeight="1">
      <x:c r="A3" s="93" t="str">
        <x:v>Job</x:v>
      </x:c>
      <x:c r="B3" s="94" t="str">
        <x:v>Stage</x:v>
      </x:c>
      <x:c r="C3" s="94" t="str">
        <x:v>Selection</x:v>
      </x:c>
      <x:c r="D3" s="94" t="str">
        <x:v>Selected?</x:v>
      </x:c>
      <x:c r="E3" s="94" t="str">
        <x:v>Status</x:v>
      </x:c>
      <x:c r="F3" s="94" t="str">
        <x:v>Profile</x:v>
      </x:c>
      <x:c r="G3" s="94" t="str">
        <x:v>Material</x:v>
      </x:c>
      <x:c r="H3" s="94" t="str">
        <x:v>Layer mm</x:v>
      </x:c>
      <x:c r="I3" s="94" t="str">
        <x:v>Plate</x:v>
      </x:c>
      <x:c r="J3" s="94" t="str">
        <x:v>Objects</x:v>
      </x:c>
      <x:c r="K3" s="94" t="str">
        <x:v>Missing gates</x:v>
      </x:c>
      <x:c r="L3" s="94" t="str">
        <x:v>Missing gate IDs</x:v>
      </x:c>
      <x:c r="M3" s="94" t="str">
        <x:v>Purpose</x:v>
      </x:c>
      <x:c r="N3" s="94" t="str">
        <x:v>Lifecycle</x:v>
      </x:c>
      <x:c r="O3" s="95" t="str">
        <x:v>Kit</x:v>
      </x:c>
    </x:row>
    <x:row r="4" ht="82" customHeight="1">
      <x:c r="A4" s="100" t="str">
        <x:v>00A</x:v>
      </x:c>
      <x:c r="B4" s="100" t="str">
        <x:v>diagnostic</x:v>
      </x:c>
      <x:c r="C4" s="100" t="str">
        <x:v>required</x:v>
      </x:c>
      <x:c r="D4" s="106" t="n">
        <x:f>1</x:f>
        <x:v>1</x:v>
      </x:c>
      <x:c r="E4" s="100" t="str">
        <x:f>IF(D4=0,"NOT_SELECTED",IF(K4=0,"READY","WAITING"))</x:f>
        <x:v>WAITING</x:v>
      </x:c>
      <x:c r="F4" s="100" t="str">
        <x:v>petg_tray_structural_0p4</x:v>
      </x:c>
      <x:c r="G4" s="100" t="str">
        <x:v>PETG</x:v>
      </x:c>
      <x:c r="H4" s="108" t="n">
        <x:v>0.2</x:v>
      </x:c>
      <x:c r="I4" s="100" t="str">
        <x:v>00A_PETG_keyboard_profile_fit_tests.3mf</x:v>
      </x:c>
      <x:c r="J4" s="106" t="n">
        <x:v>5</x:v>
      </x:c>
      <x:c r="K4" s="106" t="n">
        <x:f>COUNTIFS('Job Gate Map'!$A$4:$A$155,A4,'Job Gate Map'!$D$4:$D$155,"&lt;&gt;PASS")</x:f>
        <x:v>2</x:v>
      </x:c>
      <x:c r="L4" s="100" t="str">
        <x:v>nozzle_0p4_confirmed; petg_tray_profile_calibrated</x:v>
      </x:c>
      <x:c r="M4" s="100" t="str">
        <x:v>Keyboard corner, seam, clearance, and M4 washer tests using the exact tray profile</x:v>
      </x:c>
      <x:c r="N4" s="100" t="str">
        <x:v>UNRELEASED</x:v>
      </x:c>
      <x:c r="O4" s="100" t="str">
        <x:v>KIT-CAL</x:v>
      </x:c>
    </x:row>
    <x:row r="5" ht="82" customHeight="1">
      <x:c r="A5" s="101" t="str">
        <x:v>00B</x:v>
      </x:c>
      <x:c r="B5" s="101" t="str">
        <x:v>diagnostic</x:v>
      </x:c>
      <x:c r="C5" s="101" t="str">
        <x:v>required</x:v>
      </x:c>
      <x:c r="D5" s="107" t="n">
        <x:f>1</x:f>
        <x:v>1</x:v>
      </x:c>
      <x:c r="E5" s="101" t="str">
        <x:f>IF(D5=0,"NOT_SELECTED",IF(K5=0,"READY","WAITING"))</x:f>
        <x:v>WAITING</x:v>
      </x:c>
      <x:c r="F5" s="101" t="str">
        <x:v>petg_cradle_0p4</x:v>
      </x:c>
      <x:c r="G5" s="101" t="str">
        <x:v>PETG</x:v>
      </x:c>
      <x:c r="H5" s="109" t="n">
        <x:v>0.2</x:v>
      </x:c>
      <x:c r="I5" s="101" t="str">
        <x:v>00B_PETG_phone_profile_fit_tests.3mf</x:v>
      </x:c>
      <x:c r="J5" s="107" t="n">
        <x:v>4</x:v>
      </x:c>
      <x:c r="K5" s="107" t="n">
        <x:f>COUNTIFS('Job Gate Map'!$A$4:$A$155,A5,'Job Gate Map'!$D$4:$D$155,"&lt;&gt;PASS")</x:f>
        <x:v>2</x:v>
      </x:c>
      <x:c r="L5" s="101" t="str">
        <x:v>nozzle_0p4_confirmed; petg_cradle_profile_calibrated</x:v>
      </x:c>
      <x:c r="M5" s="101" t="str">
        <x:v>Phone width, horizontal M4 insert, cable-saddle, and washer tests using the exact cradle profile</x:v>
      </x:c>
      <x:c r="N5" s="101" t="str">
        <x:v>UNRELEASED</x:v>
      </x:c>
      <x:c r="O5" s="101" t="str">
        <x:v>KIT-CAL</x:v>
      </x:c>
    </x:row>
    <x:row r="6" ht="82" customHeight="1">
      <x:c r="A6" s="101" t="str">
        <x:v>00C</x:v>
      </x:c>
      <x:c r="B6" s="101" t="str">
        <x:v>diagnostic</x:v>
      </x:c>
      <x:c r="C6" s="101" t="str">
        <x:v>required</x:v>
      </x:c>
      <x:c r="D6" s="107" t="n">
        <x:f>1</x:f>
        <x:v>1</x:v>
      </x:c>
      <x:c r="E6" s="101" t="str">
        <x:f>IF(D6=0,"NOT_SELECTED",IF(K6=0,"READY","WAITING"))</x:f>
        <x:v>WAITING</x:v>
      </x:c>
      <x:c r="F6" s="101" t="str">
        <x:v>petg_precision_0p4</x:v>
      </x:c>
      <x:c r="G6" s="101" t="str">
        <x:v>PETG</x:v>
      </x:c>
      <x:c r="H6" s="109" t="n">
        <x:v>0.16</x:v>
      </x:c>
      <x:c r="I6" s="101" t="str">
        <x:v>00C_PETG_tool_profile_fit_tests.3mf</x:v>
      </x:c>
      <x:c r="J6" s="107" t="n">
        <x:v>4</x:v>
      </x:c>
      <x:c r="K6" s="107" t="n">
        <x:f>COUNTIFS('Job Gate Map'!$A$4:$A$155,A6,'Job Gate Map'!$D$4:$D$155,"&lt;&gt;PASS")</x:f>
        <x:v>2</x:v>
      </x:c>
      <x:c r="L6" s="101" t="str">
        <x:v>nozzle_0p4_confirmed; petg_precision_profile_calibrated</x:v>
      </x:c>
      <x:c r="M6" s="101" t="str">
        <x:v>RoArm grip, stepped spring seat, M3 insert, and M3 head tests using the exact tool profile</x:v>
      </x:c>
      <x:c r="N6" s="101" t="str">
        <x:v>UNRELEASED</x:v>
      </x:c>
      <x:c r="O6" s="101" t="str">
        <x:v>KIT-CAL</x:v>
      </x:c>
    </x:row>
    <x:row r="7" ht="82" customHeight="1">
      <x:c r="A7" s="101" t="str">
        <x:v>00D</x:v>
      </x:c>
      <x:c r="B7" s="101" t="str">
        <x:v>diagnostic</x:v>
      </x:c>
      <x:c r="C7" s="101" t="str">
        <x:v>required</x:v>
      </x:c>
      <x:c r="D7" s="107" t="n">
        <x:f>1</x:f>
        <x:v>1</x:v>
      </x:c>
      <x:c r="E7" s="101" t="str">
        <x:f>IF(D7=0,"NOT_SELECTED",IF(K7=0,"READY","WAITING"))</x:f>
        <x:v>WAITING</x:v>
      </x:c>
      <x:c r="F7" s="101" t="str">
        <x:v>petg_adapter_0p4</x:v>
      </x:c>
      <x:c r="G7" s="101" t="str">
        <x:v>PETG</x:v>
      </x:c>
      <x:c r="H7" s="109" t="n">
        <x:v>0.12</x:v>
      </x:c>
      <x:c r="I7" s="101" t="str">
        <x:v>00D_PETG_adapter_profile_fit_tests.3mf</x:v>
      </x:c>
      <x:c r="J7" s="107" t="n">
        <x:v>2</x:v>
      </x:c>
      <x:c r="K7" s="107" t="n">
        <x:f>COUNTIFS('Job Gate Map'!$A$4:$A$155,A7,'Job Gate Map'!$D$4:$D$155,"&lt;&gt;PASS")</x:f>
        <x:v>2</x:v>
      </x:c>
      <x:c r="L7" s="101" t="str">
        <x:v>nozzle_0p4_confirmed; petg_adapter_profile_calibrated</x:v>
      </x:c>
      <x:c r="M7" s="101" t="str">
        <x:v>Stylus sliding-fit and horizontal thread-pilot tests using the exact adapter profile</x:v>
      </x:c>
      <x:c r="N7" s="101" t="str">
        <x:v>UNRELEASED</x:v>
      </x:c>
      <x:c r="O7" s="101" t="str">
        <x:v>KIT-CAL</x:v>
      </x:c>
    </x:row>
    <x:row r="8" ht="82" customHeight="1">
      <x:c r="A8" s="101" t="str">
        <x:v>00E</x:v>
      </x:c>
      <x:c r="B8" s="101" t="str">
        <x:v>diagnostic</x:v>
      </x:c>
      <x:c r="C8" s="101" t="str">
        <x:v>required</x:v>
      </x:c>
      <x:c r="D8" s="107" t="n">
        <x:f>1</x:f>
        <x:v>1</x:v>
      </x:c>
      <x:c r="E8" s="101" t="str">
        <x:f>IF(D8=0,"NOT_SELECTED",IF(K8=0,"READY","WAITING"))</x:f>
        <x:v>WAITING</x:v>
      </x:c>
      <x:c r="F8" s="101" t="str">
        <x:v>petg_general_0p4</x:v>
      </x:c>
      <x:c r="G8" s="101" t="str">
        <x:v>PETG</x:v>
      </x:c>
      <x:c r="H8" s="109" t="n">
        <x:v>0.2</x:v>
      </x:c>
      <x:c r="I8" s="101" t="str">
        <x:v>00E_PETG_general_setup_tests.3mf</x:v>
      </x:c>
      <x:c r="J8" s="107" t="n">
        <x:v>3</x:v>
      </x:c>
      <x:c r="K8" s="107" t="n">
        <x:f>COUNTIFS('Job Gate Map'!$A$4:$A$155,A8,'Job Gate Map'!$D$4:$D$155,"&lt;&gt;PASS")</x:f>
        <x:v>2</x:v>
      </x:c>
      <x:c r="L8" s="101" t="str">
        <x:v>nozzle_0p4_confirmed; petg_general_profile_calibrated</x:v>
      </x:c>
      <x:c r="M8" s="101" t="str">
        <x:v>General clearance, screw-head, washer, camera-hex, and TPU-retention setup tests</x:v>
      </x:c>
      <x:c r="N8" s="101" t="str">
        <x:v>UNRELEASED</x:v>
      </x:c>
      <x:c r="O8" s="101" t="str">
        <x:v>KIT-CAL</x:v>
      </x:c>
    </x:row>
    <x:row r="9" ht="82" customHeight="1">
      <x:c r="A9" s="101" t="str">
        <x:v>00F</x:v>
      </x:c>
      <x:c r="B9" s="101" t="str">
        <x:v>diagnostic</x:v>
      </x:c>
      <x:c r="C9" s="101" t="str">
        <x:v>required</x:v>
      </x:c>
      <x:c r="D9" s="107" t="n">
        <x:f>1</x:f>
        <x:v>1</x:v>
      </x:c>
      <x:c r="E9" s="101" t="str">
        <x:f>IF(D9=0,"NOT_SELECTED",IF(K9=0,"READY","WAITING"))</x:f>
        <x:v>WAITING</x:v>
      </x:c>
      <x:c r="F9" s="101" t="str">
        <x:v>petg_calibration_0p4</x:v>
      </x:c>
      <x:c r="G9" s="101" t="str">
        <x:v>PETG</x:v>
      </x:c>
      <x:c r="H9" s="109" t="n">
        <x:v>0.16</x:v>
      </x:c>
      <x:c r="I9" s="101" t="str">
        <x:v>00F_PETG_calibration_profile_clearance_test.3mf</x:v>
      </x:c>
      <x:c r="J9" s="107" t="n">
        <x:v>2</x:v>
      </x:c>
      <x:c r="K9" s="107" t="n">
        <x:f>COUNTIFS('Job Gate Map'!$A$4:$A$155,A9,'Job Gate Map'!$D$4:$D$155,"&lt;&gt;PASS")</x:f>
        <x:v>2</x:v>
      </x:c>
      <x:c r="L9" s="101" t="str">
        <x:v>nozzle_0p4_confirmed; petg_calibration_profile_calibrated</x:v>
      </x:c>
      <x:c r="M9" s="101" t="str">
        <x:v>M4 clearance and washer verification using the exact fine-layer calibration-puck profile</x:v>
      </x:c>
      <x:c r="N9" s="101" t="str">
        <x:v>UNRELEASED</x:v>
      </x:c>
      <x:c r="O9" s="101" t="str">
        <x:v>KIT-CAL</x:v>
      </x:c>
    </x:row>
    <x:row r="10" ht="82" customHeight="1">
      <x:c r="A10" s="101" t="str">
        <x:v>01</x:v>
      </x:c>
      <x:c r="B10" s="101" t="str">
        <x:v>first_article</x:v>
      </x:c>
      <x:c r="C10" s="101" t="str">
        <x:v>required</x:v>
      </x:c>
      <x:c r="D10" s="107" t="n">
        <x:f>1</x:f>
        <x:v>1</x:v>
      </x:c>
      <x:c r="E10" s="101" t="str">
        <x:f>IF(D10=0,"NOT_SELECTED",IF(K10=0,"READY","WAITING"))</x:f>
        <x:v>WAITING</x:v>
      </x:c>
      <x:c r="F10" s="101" t="str">
        <x:v>petg_tray_structural_0p4</x:v>
      </x:c>
      <x:c r="G10" s="101" t="str">
        <x:v>PETG</x:v>
      </x:c>
      <x:c r="H10" s="109" t="n">
        <x:v>0.2</x:v>
      </x:c>
      <x:c r="I10" s="101" t="str">
        <x:v>01_PETG_keyboard_left.3mf</x:v>
      </x:c>
      <x:c r="J10" s="107" t="n">
        <x:v>1</x:v>
      </x:c>
      <x:c r="K10" s="107" t="n">
        <x:f>COUNTIFS('Job Gate Map'!$A$4:$A$155,A10,'Job Gate Map'!$D$4:$D$155,"&lt;&gt;PASS")</x:f>
        <x:v>8</x:v>
      </x:c>
      <x:c r="L10" s="101" t="str">
        <x:v>nozzle_0p4_confirmed; petg_tray_profile_calibrated; keyboard_dimensions_measured; keyboard_corner_coupon_pass; keyboard_seam_coupon_pass; tray_clearance_holes_coupon_pass; geometry_matches_measurements; qidi_studio_roundtrip_confirmed</x:v>
      </x:c>
      <x:c r="M10" s="101" t="str">
        <x:v>Left keyboard tray first article</x:v>
      </x:c>
      <x:c r="N10" s="101" t="str">
        <x:v>UNRELEASED</x:v>
      </x:c>
      <x:c r="O10" s="101" t="str">
        <x:v>KIT-KB</x:v>
      </x:c>
    </x:row>
    <x:row r="11" ht="82" customHeight="1">
      <x:c r="A11" s="101" t="str">
        <x:v>02</x:v>
      </x:c>
      <x:c r="B11" s="101" t="str">
        <x:v>production</x:v>
      </x:c>
      <x:c r="C11" s="101" t="str">
        <x:v>required</x:v>
      </x:c>
      <x:c r="D11" s="107" t="n">
        <x:f>1</x:f>
        <x:v>1</x:v>
      </x:c>
      <x:c r="E11" s="101" t="str">
        <x:f>IF(D11=0,"NOT_SELECTED",IF(K11=0,"READY","WAITING"))</x:f>
        <x:v>WAITING</x:v>
      </x:c>
      <x:c r="F11" s="101" t="str">
        <x:v>petg_tray_structural_0p4</x:v>
      </x:c>
      <x:c r="G11" s="101" t="str">
        <x:v>PETG</x:v>
      </x:c>
      <x:c r="H11" s="109" t="n">
        <x:v>0.2</x:v>
      </x:c>
      <x:c r="I11" s="101" t="str">
        <x:v>02_PETG_keyboard_right.3mf</x:v>
      </x:c>
      <x:c r="J11" s="107" t="n">
        <x:v>1</x:v>
      </x:c>
      <x:c r="K11" s="107" t="n">
        <x:f>COUNTIFS('Job Gate Map'!$A$4:$A$155,A11,'Job Gate Map'!$D$4:$D$155,"&lt;&gt;PASS")</x:f>
        <x:v>9</x:v>
      </x:c>
      <x:c r="L11" s="101" t="str">
        <x:v>nozzle_0p4_confirmed; petg_tray_profile_calibrated; keyboard_dimensions_measured; keyboard_corner_coupon_pass; keyboard_seam_coupon_pass; tray_clearance_holes_coupon_pass; geometry_matches_measurements; keyboard_left_first_article_pass; qidi_studio_roundtrip_confirmed</x:v>
      </x:c>
      <x:c r="M11" s="101" t="str">
        <x:v>Right keyboard tray after left first-article acceptance</x:v>
      </x:c>
      <x:c r="N11" s="101" t="str">
        <x:v>UNRELEASED</x:v>
      </x:c>
      <x:c r="O11" s="101" t="str">
        <x:v>KIT-KB</x:v>
      </x:c>
    </x:row>
    <x:row r="12" ht="82" customHeight="1">
      <x:c r="A12" s="101" t="str">
        <x:v>03A</x:v>
      </x:c>
      <x:c r="B12" s="101" t="str">
        <x:v>production</x:v>
      </x:c>
      <x:c r="C12" s="101" t="str">
        <x:v>required</x:v>
      </x:c>
      <x:c r="D12" s="107" t="n">
        <x:f>1</x:f>
        <x:v>1</x:v>
      </x:c>
      <x:c r="E12" s="101" t="str">
        <x:f>IF(D12=0,"NOT_SELECTED",IF(K12=0,"READY","WAITING"))</x:f>
        <x:v>WAITING</x:v>
      </x:c>
      <x:c r="F12" s="101" t="str">
        <x:v>petg_cradle_0p4</x:v>
      </x:c>
      <x:c r="G12" s="101" t="str">
        <x:v>PETG</x:v>
      </x:c>
      <x:c r="H12" s="109" t="n">
        <x:v>0.2</x:v>
      </x:c>
      <x:c r="I12" s="101" t="str">
        <x:v>03A_PETG_phone_cradle.3mf</x:v>
      </x:c>
      <x:c r="J12" s="107" t="n">
        <x:v>1</x:v>
      </x:c>
      <x:c r="K12" s="107" t="n">
        <x:f>COUNTIFS('Job Gate Map'!$A$4:$A$155,A12,'Job Gate Map'!$D$4:$D$155,"&lt;&gt;PASS")</x:f>
        <x:v>11</x:v>
      </x:c>
      <x:c r="L12" s="101" t="str">
        <x:v>nozzle_0p4_confirmed; petg_cradle_profile_calibrated; phone_dimensions_measured; phone_side_features_measured; phone_cable_measured; phone_width_coupon_pass; m4_horizontal_insert_coupon_pass; cable_tie_saddle_coupon_pass; cradle_m4_washer_coupon_pass; geometry_matches_measurements; qidi_studio_roundtrip_confirmed</x:v>
      </x:c>
      <x:c r="M12" s="101" t="str">
        <x:v>Phone cradle with closed mounting ears and raised cable saddle</x:v>
      </x:c>
      <x:c r="N12" s="101" t="str">
        <x:v>UNRELEASED</x:v>
      </x:c>
      <x:c r="O12" s="101" t="str">
        <x:v>KIT-PHONE</x:v>
      </x:c>
    </x:row>
    <x:row r="13" ht="82" customHeight="1">
      <x:c r="A13" s="101" t="str">
        <x:v>03B</x:v>
      </x:c>
      <x:c r="B13" s="101" t="str">
        <x:v>production</x:v>
      </x:c>
      <x:c r="C13" s="101" t="str">
        <x:v>required</x:v>
      </x:c>
      <x:c r="D13" s="107" t="n">
        <x:f>1</x:f>
        <x:v>1</x:v>
      </x:c>
      <x:c r="E13" s="101" t="str">
        <x:f>IF(D13=0,"NOT_SELECTED",IF(K13=0,"READY","WAITING"))</x:f>
        <x:v>WAITING</x:v>
      </x:c>
      <x:c r="F13" s="101" t="str">
        <x:v>petg_general_0p4</x:v>
      </x:c>
      <x:c r="G13" s="101" t="str">
        <x:v>PETG</x:v>
      </x:c>
      <x:c r="H13" s="109" t="n">
        <x:v>0.2</x:v>
      </x:c>
      <x:c r="I13" s="101" t="str">
        <x:v>03B_PETG_keyboard_clamps.3mf</x:v>
      </x:c>
      <x:c r="J13" s="107" t="n">
        <x:v>2</x:v>
      </x:c>
      <x:c r="K13" s="107" t="n">
        <x:f>COUNTIFS('Job Gate Map'!$A$4:$A$155,A13,'Job Gate Map'!$D$4:$D$155,"&lt;&gt;PASS")</x:f>
        <x:v>8</x:v>
      </x:c>
      <x:c r="L13" s="101" t="str">
        <x:v>nozzle_0p4_confirmed; petg_general_profile_calibrated; keyboard_dimensions_measured; keyboard_corner_coupon_pass; general_clearance_holes_coupon_pass; setup_hardware_coupon_pass; geometry_matches_measurements; qidi_studio_roundtrip_confirmed</x:v>
      </x:c>
      <x:c r="M13" s="101" t="str">
        <x:v>Two scaled, gusseted keyboard rear clamps</x:v>
      </x:c>
      <x:c r="N13" s="101" t="str">
        <x:v>UNRELEASED</x:v>
      </x:c>
      <x:c r="O13" s="101" t="str">
        <x:v>KIT-KB</x:v>
      </x:c>
    </x:row>
    <x:row r="14" ht="82" customHeight="1">
      <x:c r="A14" s="101" t="str">
        <x:v>03C1</x:v>
      </x:c>
      <x:c r="B14" s="101" t="str">
        <x:v>first_article</x:v>
      </x:c>
      <x:c r="C14" s="101" t="str">
        <x:v>required</x:v>
      </x:c>
      <x:c r="D14" s="107" t="n">
        <x:f>1</x:f>
        <x:v>1</x:v>
      </x:c>
      <x:c r="E14" s="101" t="str">
        <x:f>IF(D14=0,"NOT_SELECTED",IF(K14=0,"READY","WAITING"))</x:f>
        <x:v>WAITING</x:v>
      </x:c>
      <x:c r="F14" s="101" t="str">
        <x:v>petg_general_0p4</x:v>
      </x:c>
      <x:c r="G14" s="101" t="str">
        <x:v>PETG</x:v>
      </x:c>
      <x:c r="H14" s="109" t="n">
        <x:v>0.2</x:v>
      </x:c>
      <x:c r="I14" s="101" t="str">
        <x:v>03C1_PETG_tag_frame_first_article.3mf</x:v>
      </x:c>
      <x:c r="J14" s="107" t="n">
        <x:v>1</x:v>
      </x:c>
      <x:c r="K14" s="107" t="n">
        <x:f>COUNTIFS('Job Gate Map'!$A$4:$A$155,A14,'Job Gate Map'!$D$4:$D$155,"&lt;&gt;PASS")</x:f>
        <x:v>7</x:v>
      </x:c>
      <x:c r="L14" s="101" t="str">
        <x:v>nozzle_0p4_confirmed; petg_general_profile_calibrated; tag_stock_measured; general_clearance_holes_coupon_pass; setup_hardware_coupon_pass; geometry_matches_measurements; qidi_studio_roundtrip_confirmed</x:v>
      </x:c>
      <x:c r="M14" s="101" t="str">
        <x:v>ID0 tag frame first article with isolated artwork and washer zones</x:v>
      </x:c>
      <x:c r="N14" s="101" t="str">
        <x:v>UNRELEASED</x:v>
      </x:c>
      <x:c r="O14" s="101" t="str">
        <x:v>KIT-VISION-TAG</x:v>
      </x:c>
    </x:row>
    <x:row r="15" ht="82" customHeight="1">
      <x:c r="A15" s="101" t="str">
        <x:v>03C2</x:v>
      </x:c>
      <x:c r="B15" s="101" t="str">
        <x:v>production</x:v>
      </x:c>
      <x:c r="C15" s="101" t="str">
        <x:v>required</x:v>
      </x:c>
      <x:c r="D15" s="107" t="n">
        <x:f>1</x:f>
        <x:v>1</x:v>
      </x:c>
      <x:c r="E15" s="101" t="str">
        <x:f>IF(D15=0,"NOT_SELECTED",IF(K15=0,"READY","WAITING"))</x:f>
        <x:v>WAITING</x:v>
      </x:c>
      <x:c r="F15" s="101" t="str">
        <x:v>petg_general_0p4</x:v>
      </x:c>
      <x:c r="G15" s="101" t="str">
        <x:v>PETG</x:v>
      </x:c>
      <x:c r="H15" s="109" t="n">
        <x:v>0.2</x:v>
      </x:c>
      <x:c r="I15" s="101" t="str">
        <x:v>03C2_PETG_tag_frames_remaining.3mf</x:v>
      </x:c>
      <x:c r="J15" s="107" t="n">
        <x:v>5</x:v>
      </x:c>
      <x:c r="K15" s="107" t="n">
        <x:f>COUNTIFS('Job Gate Map'!$A$4:$A$155,A15,'Job Gate Map'!$D$4:$D$155,"&lt;&gt;PASS")</x:f>
        <x:v>6</x:v>
      </x:c>
      <x:c r="L15" s="101" t="str">
        <x:v>nozzle_0p4_confirmed; petg_general_profile_calibrated; tag_stock_measured; tag_artwork_scale_pass; tag_frame_first_article_pass; qidi_studio_roundtrip_confirmed</x:v>
      </x:c>
      <x:c r="M15" s="101" t="str">
        <x:v>Remaining ID1-ID5 tag frames after first-article acceptance</x:v>
      </x:c>
      <x:c r="N15" s="101" t="str">
        <x:v>UNRELEASED</x:v>
      </x:c>
      <x:c r="O15" s="101" t="str">
        <x:v>KIT-VISION-TAG</x:v>
      </x:c>
    </x:row>
    <x:row r="16" ht="82" customHeight="1">
      <x:c r="A16" s="101" t="str">
        <x:v>03C3</x:v>
      </x:c>
      <x:c r="B16" s="101" t="str">
        <x:v>production</x:v>
      </x:c>
      <x:c r="C16" s="101" t="str">
        <x:v>required</x:v>
      </x:c>
      <x:c r="D16" s="107" t="n">
        <x:f>1</x:f>
        <x:v>1</x:v>
      </x:c>
      <x:c r="E16" s="101" t="str">
        <x:f>IF(D16=0,"NOT_SELECTED",IF(K16=0,"READY","WAITING"))</x:f>
        <x:v>WAITING</x:v>
      </x:c>
      <x:c r="F16" s="101" t="str">
        <x:v>petg_general_0p4</x:v>
      </x:c>
      <x:c r="G16" s="101" t="str">
        <x:v>PETG</x:v>
      </x:c>
      <x:c r="H16" s="109" t="n">
        <x:v>0.2</x:v>
      </x:c>
      <x:c r="I16" s="101" t="str">
        <x:v>03C3_PETG_camera_plate.3mf</x:v>
      </x:c>
      <x:c r="J16" s="107" t="n">
        <x:v>1</x:v>
      </x:c>
      <x:c r="K16" s="107" t="n">
        <x:f>COUNTIFS('Job Gate Map'!$A$4:$A$155,A16,'Job Gate Map'!$D$4:$D$155,"&lt;&gt;PASS")</x:f>
        <x:v>7</x:v>
      </x:c>
      <x:c r="L16" s="101" t="str">
        <x:v>nozzle_0p4_confirmed; petg_general_profile_calibrated; camera_mount_interface_measured; general_clearance_holes_coupon_pass; setup_hardware_coupon_pass; geometry_matches_measurements; qidi_studio_roundtrip_confirmed</x:v>
      </x:c>
      <x:c r="M16" s="101" t="str">
        <x:v>Universal camera plate isolated for measured camera hardware</x:v>
      </x:c>
      <x:c r="N16" s="101" t="str">
        <x:v>UNRELEASED</x:v>
      </x:c>
      <x:c r="O16" s="101" t="str">
        <x:v>KIT-VISION-CAM</x:v>
      </x:c>
    </x:row>
    <x:row r="17" ht="82" customHeight="1">
      <x:c r="A17" s="101" t="str">
        <x:v>03D</x:v>
      </x:c>
      <x:c r="B17" s="101" t="str">
        <x:v>production</x:v>
      </x:c>
      <x:c r="C17" s="101" t="str">
        <x:v>required</x:v>
      </x:c>
      <x:c r="D17" s="107" t="n">
        <x:f>1</x:f>
        <x:v>1</x:v>
      </x:c>
      <x:c r="E17" s="101" t="str">
        <x:f>IF(D17=0,"NOT_SELECTED",IF(K17=0,"READY","WAITING"))</x:f>
        <x:v>WAITING</x:v>
      </x:c>
      <x:c r="F17" s="101" t="str">
        <x:v>petg_calibration_0p4</x:v>
      </x:c>
      <x:c r="G17" s="101" t="str">
        <x:v>PETG</x:v>
      </x:c>
      <x:c r="H17" s="109" t="n">
        <x:v>0.16</x:v>
      </x:c>
      <x:c r="I17" s="101" t="str">
        <x:v>03D_PETG_calibration_puck.3mf</x:v>
      </x:c>
      <x:c r="J17" s="107" t="n">
        <x:v>1</x:v>
      </x:c>
      <x:c r="K17" s="107" t="n">
        <x:f>COUNTIFS('Job Gate Map'!$A$4:$A$155,A17,'Job Gate Map'!$D$4:$D$155,"&lt;&gt;PASS")</x:f>
        <x:v>5</x:v>
      </x:c>
      <x:c r="L17" s="101" t="str">
        <x:v>nozzle_0p4_confirmed; petg_calibration_profile_calibrated; calibration_clearance_holes_coupon_pass; geometry_matches_measurements; qidi_studio_roundtrip_confirmed</x:v>
      </x:c>
      <x:c r="M17" s="101" t="str">
        <x:v>TCP calibration puck isolated at its fine process</x:v>
      </x:c>
      <x:c r="N17" s="101" t="str">
        <x:v>UNRELEASED</x:v>
      </x:c>
      <x:c r="O17" s="101" t="str">
        <x:v>KIT-PUCK</x:v>
      </x:c>
    </x:row>
    <x:row r="18" ht="82" customHeight="1">
      <x:c r="A18" s="101" t="str">
        <x:v>04A</x:v>
      </x:c>
      <x:c r="B18" s="101" t="str">
        <x:v>route</x:v>
      </x:c>
      <x:c r="C18" s="101" t="str">
        <x:v>any_tool_route</x:v>
      </x:c>
      <x:c r="D18" s="107" t="n">
        <x:f>IF(COUNTIF('Routes'!$B$4:$B$5,"YES")&gt;0,1,0)</x:f>
        <x:v>0</x:v>
      </x:c>
      <x:c r="E18" s="101" t="str">
        <x:f>IF(D18=0,"NOT_SELECTED",IF(K18=0,"READY","WAITING"))</x:f>
        <x:v>NOT_SELECTED</x:v>
      </x:c>
      <x:c r="F18" s="101" t="str">
        <x:v>petg_precision_0p4</x:v>
      </x:c>
      <x:c r="G18" s="101" t="str">
        <x:v>PETG</x:v>
      </x:c>
      <x:c r="H18" s="109" t="n">
        <x:v>0.16</x:v>
      </x:c>
      <x:c r="I18" s="101" t="str">
        <x:v>04A_PETG_shared_compliant_tool.3mf</x:v>
      </x:c>
      <x:c r="J18" s="107" t="n">
        <x:v>3</x:v>
      </x:c>
      <x:c r="K18" s="107" t="n">
        <x:f>COUNTIFS('Job Gate Map'!$A$4:$A$155,A18,'Job Gate Map'!$D$4:$D$155,"&lt;&gt;PASS")</x:f>
        <x:v>10</x:v>
      </x:c>
      <x:c r="L18" s="101" t="str">
        <x:v>nozzle_0p4_confirmed; petg_precision_profile_calibrated; m3_insert_coupon_pass; gripper_interface_measured; gripper_coupon_pass; spring_dimensions_measured; spring_fit_coupon_pass; precision_m3_head_coupon_pass; geometry_matches_measurements; qidi_studio_roundtrip_confirmed</x:v>
      </x:c>
      <x:c r="M18" s="101" t="str">
        <x:v>Shared compliant tool body with keyed cap and one spare cap</x:v>
      </x:c>
      <x:c r="N18" s="101" t="str">
        <x:v>NOT_SELECTED</x:v>
      </x:c>
      <x:c r="O18" s="101" t="str">
        <x:v>KIT-TOOL-COMMON</x:v>
      </x:c>
    </x:row>
    <x:row r="19" ht="82" customHeight="1">
      <x:c r="A19" s="101" t="str">
        <x:v>04B</x:v>
      </x:c>
      <x:c r="B19" s="101" t="str">
        <x:v>route</x:v>
      </x:c>
      <x:c r="C19" s="101" t="str">
        <x:v>phone_stylus_route</x:v>
      </x:c>
      <x:c r="D19" s="107" t="n">
        <x:f>IF(COUNTIFS('Routes'!$A$4:$A$6,C19,'Routes'!$B$4:$B$6,"YES")&gt;0,1,0)</x:f>
        <x:v>0</x:v>
      </x:c>
      <x:c r="E19" s="101" t="str">
        <x:f>IF(D19=0,"NOT_SELECTED",IF(K19=0,"READY","WAITING"))</x:f>
        <x:v>NOT_SELECTED</x:v>
      </x:c>
      <x:c r="F19" s="101" t="str">
        <x:v>petg_adapter_0p4</x:v>
      </x:c>
      <x:c r="G19" s="101" t="str">
        <x:v>PETG</x:v>
      </x:c>
      <x:c r="H19" s="109" t="n">
        <x:v>0.12</x:v>
      </x:c>
      <x:c r="I19" s="101" t="str">
        <x:v>04B_PETG_phone_stylus_adapters.3mf</x:v>
      </x:c>
      <x:c r="J19" s="107" t="n">
        <x:v>2</x:v>
      </x:c>
      <x:c r="K19" s="107" t="n">
        <x:f>COUNTIFS('Job Gate Map'!$A$4:$A$155,A19,'Job Gate Map'!$D$4:$D$155,"&lt;&gt;PASS")</x:f>
        <x:v>6</x:v>
      </x:c>
      <x:c r="L19" s="101" t="str">
        <x:v>nozzle_0p4_confirmed; petg_adapter_profile_calibrated; stylus_diameter_measured; stylus_gauge_coupon_pass; adapter_retention_method_selected; qidi_studio_roundtrip_confirmed</x:v>
      </x:c>
      <x:c r="M19" s="101" t="str">
        <x:v>Two phone-route stylus collars for thin-wall retention qualification and one spare</x:v>
      </x:c>
      <x:c r="N19" s="101" t="str">
        <x:v>NOT_SELECTED</x:v>
      </x:c>
      <x:c r="O19" s="101" t="str">
        <x:v>KIT-TOOL-PHONE</x:v>
      </x:c>
    </x:row>
    <x:row r="20" ht="82" customHeight="1">
      <x:c r="A20" s="101" t="str">
        <x:v>04C</x:v>
      </x:c>
      <x:c r="B20" s="101" t="str">
        <x:v>route</x:v>
      </x:c>
      <x:c r="C20" s="101" t="str">
        <x:v>keyboard_rod_route</x:v>
      </x:c>
      <x:c r="D20" s="107" t="n">
        <x:f>IF(COUNTIFS('Routes'!$A$4:$A$6,C20,'Routes'!$B$4:$B$6,"YES")&gt;0,1,0)</x:f>
        <x:v>0</x:v>
      </x:c>
      <x:c r="E20" s="101" t="str">
        <x:f>IF(D20=0,"NOT_SELECTED",IF(K20=0,"READY","WAITING"))</x:f>
        <x:v>NOT_SELECTED</x:v>
      </x:c>
      <x:c r="F20" s="101" t="str">
        <x:v>petg_adapter_0p4</x:v>
      </x:c>
      <x:c r="G20" s="101" t="str">
        <x:v>PETG</x:v>
      </x:c>
      <x:c r="H20" s="109" t="n">
        <x:v>0.12</x:v>
      </x:c>
      <x:c r="I20" s="101" t="str">
        <x:v>04C_PETG_keyboard_rod_adapters.3mf</x:v>
      </x:c>
      <x:c r="J20" s="107" t="n">
        <x:v>2</x:v>
      </x:c>
      <x:c r="K20" s="107" t="n">
        <x:f>COUNTIFS('Job Gate Map'!$A$4:$A$155,A20,'Job Gate Map'!$D$4:$D$155,"&lt;&gt;PASS")</x:f>
        <x:v>6</x:v>
      </x:c>
      <x:c r="L20" s="101" t="str">
        <x:v>nozzle_0p4_confirmed; petg_adapter_profile_calibrated; keyboard_rod_measured; adapter_retention_method_selected; geometry_matches_measurements; qidi_studio_roundtrip_confirmed</x:v>
      </x:c>
      <x:c r="M20" s="101" t="str">
        <x:v>Two keyboard-route rod bushings for retention qualification and one spare</x:v>
      </x:c>
      <x:c r="N20" s="101" t="str">
        <x:v>NOT_SELECTED</x:v>
      </x:c>
      <x:c r="O20" s="101" t="str">
        <x:v>KIT-TOOL-KB</x:v>
      </x:c>
    </x:row>
    <x:row r="21" ht="82" customHeight="1">
      <x:c r="A21" s="101" t="str">
        <x:v>05A</x:v>
      </x:c>
      <x:c r="B21" s="101" t="str">
        <x:v>first_article</x:v>
      </x:c>
      <x:c r="C21" s="101" t="str">
        <x:v>required</x:v>
      </x:c>
      <x:c r="D21" s="107" t="n">
        <x:f>1</x:f>
        <x:v>1</x:v>
      </x:c>
      <x:c r="E21" s="101" t="str">
        <x:f>IF(D21=0,"NOT_SELECTED",IF(K21=0,"READY","WAITING"))</x:f>
        <x:v>WAITING</x:v>
      </x:c>
      <x:c r="F21" s="101" t="str">
        <x:v>tpu95a_0p4</x:v>
      </x:c>
      <x:c r="G21" s="101" t="str">
        <x:v>TPU 95A</x:v>
      </x:c>
      <x:c r="H21" s="109" t="n">
        <x:v>0.16</x:v>
      </x:c>
      <x:c r="I21" s="101" t="str">
        <x:v>05A_TPU_phone_tip_first_article.3mf</x:v>
      </x:c>
      <x:c r="J21" s="107" t="n">
        <x:v>1</x:v>
      </x:c>
      <x:c r="K21" s="107" t="n">
        <x:f>COUNTIFS('Job Gate Map'!$A$4:$A$155,A21,'Job Gate Map'!$D$4:$D$155,"&lt;&gt;PASS")</x:f>
        <x:v>3</x:v>
      </x:c>
      <x:c r="L21" s="101" t="str">
        <x:v>nozzle_0p4_confirmed; tpu_profile_calibrated; qidi_studio_roundtrip_confirmed</x:v>
      </x:c>
      <x:c r="M21" s="101" t="str">
        <x:v>One phone TPU tip for dimensional and pull-off acceptance</x:v>
      </x:c>
      <x:c r="N21" s="101" t="str">
        <x:v>UNRELEASED</x:v>
      </x:c>
      <x:c r="O21" s="101" t="str">
        <x:v>KIT-PHONE</x:v>
      </x:c>
    </x:row>
    <x:row r="22" ht="82" customHeight="1">
      <x:c r="A22" s="101" t="str">
        <x:v>05B</x:v>
      </x:c>
      <x:c r="B22" s="101" t="str">
        <x:v>production</x:v>
      </x:c>
      <x:c r="C22" s="101" t="str">
        <x:v>required</x:v>
      </x:c>
      <x:c r="D22" s="107" t="n">
        <x:f>1</x:f>
        <x:v>1</x:v>
      </x:c>
      <x:c r="E22" s="101" t="str">
        <x:f>IF(D22=0,"NOT_SELECTED",IF(K22=0,"READY","WAITING"))</x:f>
        <x:v>WAITING</x:v>
      </x:c>
      <x:c r="F22" s="101" t="str">
        <x:v>tpu95a_0p4</x:v>
      </x:c>
      <x:c r="G22" s="101" t="str">
        <x:v>TPU 95A</x:v>
      </x:c>
      <x:c r="H22" s="109" t="n">
        <x:v>0.16</x:v>
      </x:c>
      <x:c r="I22" s="101" t="str">
        <x:v>05B_TPU_phone_tips_and_spares.3mf</x:v>
      </x:c>
      <x:c r="J22" s="107" t="n">
        <x:v>3</x:v>
      </x:c>
      <x:c r="K22" s="107" t="n">
        <x:f>COUNTIFS('Job Gate Map'!$A$4:$A$155,A22,'Job Gate Map'!$D$4:$D$155,"&lt;&gt;PASS")</x:f>
        <x:v>4</x:v>
      </x:c>
      <x:c r="L22" s="101" t="str">
        <x:v>nozzle_0p4_confirmed; tpu_profile_calibrated; phone_tpu_retention_coupon_pass; qidi_studio_roundtrip_confirmed</x:v>
      </x:c>
      <x:c r="M22" s="101" t="str">
        <x:v>Three additional phone TPU tips, yielding two installed and two total spares</x:v>
      </x:c>
      <x:c r="N22" s="101" t="str">
        <x:v>UNRELEASED</x:v>
      </x:c>
      <x:c r="O22" s="101" t="str">
        <x:v>KIT-PHONE</x:v>
      </x:c>
    </x:row>
    <x:row r="23" ht="82" customHeight="1">
      <x:c r="A23" s="101" t="str">
        <x:v>05C</x:v>
      </x:c>
      <x:c r="B23" s="101" t="str">
        <x:v>first_article</x:v>
      </x:c>
      <x:c r="C23" s="101" t="str">
        <x:v>keyboard_rod_route</x:v>
      </x:c>
      <x:c r="D23" s="107" t="n">
        <x:f>IF(COUNTIFS('Routes'!$A$4:$A$6,C23,'Routes'!$B$4:$B$6,"YES")&gt;0,1,0)</x:f>
        <x:v>0</x:v>
      </x:c>
      <x:c r="E23" s="101" t="str">
        <x:f>IF(D23=0,"NOT_SELECTED",IF(K23=0,"READY","WAITING"))</x:f>
        <x:v>NOT_SELECTED</x:v>
      </x:c>
      <x:c r="F23" s="101" t="str">
        <x:v>tpu95a_0p4</x:v>
      </x:c>
      <x:c r="G23" s="101" t="str">
        <x:v>TPU 95A</x:v>
      </x:c>
      <x:c r="H23" s="109" t="n">
        <x:v>0.16</x:v>
      </x:c>
      <x:c r="I23" s="101" t="str">
        <x:v>05C_TPU_keyboard_tip_first_article.3mf</x:v>
      </x:c>
      <x:c r="J23" s="107" t="n">
        <x:v>1</x:v>
      </x:c>
      <x:c r="K23" s="107" t="n">
        <x:f>COUNTIFS('Job Gate Map'!$A$4:$A$155,A23,'Job Gate Map'!$D$4:$D$155,"&lt;&gt;PASS")</x:f>
        <x:v>4</x:v>
      </x:c>
      <x:c r="L23" s="101" t="str">
        <x:v>nozzle_0p4_confirmed; tpu_profile_calibrated; keyboard_rod_measured; qidi_studio_roundtrip_confirmed</x:v>
      </x:c>
      <x:c r="M23" s="101" t="str">
        <x:v>One keyboard TPU tip for dimensional and pull-off acceptance</x:v>
      </x:c>
      <x:c r="N23" s="101" t="str">
        <x:v>NOT_SELECTED</x:v>
      </x:c>
      <x:c r="O23" s="101" t="str">
        <x:v>KIT-TOOL-KB</x:v>
      </x:c>
    </x:row>
    <x:row r="24" ht="82" customHeight="1">
      <x:c r="A24" s="101" t="str">
        <x:v>05D</x:v>
      </x:c>
      <x:c r="B24" s="101" t="str">
        <x:v>production</x:v>
      </x:c>
      <x:c r="C24" s="101" t="str">
        <x:v>keyboard_rod_route</x:v>
      </x:c>
      <x:c r="D24" s="107" t="n">
        <x:f>IF(COUNTIFS('Routes'!$A$4:$A$6,C24,'Routes'!$B$4:$B$6,"YES")&gt;0,1,0)</x:f>
        <x:v>0</x:v>
      </x:c>
      <x:c r="E24" s="101" t="str">
        <x:f>IF(D24=0,"NOT_SELECTED",IF(K24=0,"READY","WAITING"))</x:f>
        <x:v>NOT_SELECTED</x:v>
      </x:c>
      <x:c r="F24" s="101" t="str">
        <x:v>tpu95a_0p4</x:v>
      </x:c>
      <x:c r="G24" s="101" t="str">
        <x:v>TPU 95A</x:v>
      </x:c>
      <x:c r="H24" s="109" t="n">
        <x:v>0.16</x:v>
      </x:c>
      <x:c r="I24" s="101" t="str">
        <x:v>05D_TPU_keyboard_tips_and_spares.3mf</x:v>
      </x:c>
      <x:c r="J24" s="107" t="n">
        <x:v>3</x:v>
      </x:c>
      <x:c r="K24" s="107" t="n">
        <x:f>COUNTIFS('Job Gate Map'!$A$4:$A$155,A24,'Job Gate Map'!$D$4:$D$155,"&lt;&gt;PASS")</x:f>
        <x:v>5</x:v>
      </x:c>
      <x:c r="L24" s="101" t="str">
        <x:v>nozzle_0p4_confirmed; tpu_profile_calibrated; keyboard_rod_measured; keyboard_tpu_retention_coupon_pass; qidi_studio_roundtrip_confirmed</x:v>
      </x:c>
      <x:c r="M24" s="101" t="str">
        <x:v>Three additional keyboard TPU tips, yielding two installed and two total spares</x:v>
      </x:c>
      <x:c r="N24" s="101" t="str">
        <x:v>NOT_SELECTED</x:v>
      </x:c>
      <x:c r="O24" s="101" t="str">
        <x:v>KIT-TOOL-KB</x:v>
      </x:c>
    </x:row>
    <x:row r="25" ht="82" customHeight="1">
      <x:c r="A25" s="101" t="str">
        <x:v>06</x:v>
      </x:c>
      <x:c r="B25" s="101" t="str">
        <x:v>diagnostic</x:v>
      </x:c>
      <x:c r="C25" s="101" t="str">
        <x:v>camera_mast_optional</x:v>
      </x:c>
      <x:c r="D25" s="107" t="n">
        <x:f>IF(COUNTIFS('Routes'!$A$4:$A$6,C25,'Routes'!$B$4:$B$6,"YES")&gt;0,1,0)</x:f>
        <x:v>0</x:v>
      </x:c>
      <x:c r="E25" s="101" t="str">
        <x:f>IF(D25=0,"NOT_SELECTED",IF(K25=0,"READY","WAITING"))</x:f>
        <x:v>NOT_SELECTED</x:v>
      </x:c>
      <x:c r="F25" s="101" t="str">
        <x:v>asa_structural_0p4</x:v>
      </x:c>
      <x:c r="G25" s="101" t="str">
        <x:v>ASA</x:v>
      </x:c>
      <x:c r="H25" s="109" t="n">
        <x:v>0.24</x:v>
      </x:c>
      <x:c r="I25" s="101" t="str">
        <x:v>06_ASA_mast_fit_tests.3mf</x:v>
      </x:c>
      <x:c r="J25" s="107" t="n">
        <x:v>2</x:v>
      </x:c>
      <x:c r="K25" s="107" t="n">
        <x:f>COUNTIFS('Job Gate Map'!$A$4:$A$155,A25,'Job Gate Map'!$D$4:$D$155,"&lt;&gt;PASS")</x:f>
        <x:v>2</x:v>
      </x:c>
      <x:c r="L25" s="101" t="str">
        <x:v>nozzle_0p4_confirmed; asa_profile_calibrated</x:v>
      </x:c>
      <x:c r="M25" s="101" t="str">
        <x:v>Same-profile 2020 socket and production-axis M5 nut/clearance/washer tests</x:v>
      </x:c>
      <x:c r="N25" s="101" t="str">
        <x:v>NOT_SELECTED</x:v>
      </x:c>
      <x:c r="O25" s="101" t="str">
        <x:v>KIT-MAST</x:v>
      </x:c>
    </x:row>
    <x:row r="26" ht="82" customHeight="1">
      <x:c r="A26" s="101" t="str">
        <x:v>07A</x:v>
      </x:c>
      <x:c r="B26" s="101" t="str">
        <x:v>first_article</x:v>
      </x:c>
      <x:c r="C26" s="101" t="str">
        <x:v>camera_mast_optional</x:v>
      </x:c>
      <x:c r="D26" s="107" t="n">
        <x:f>IF(COUNTIFS('Routes'!$A$4:$A$6,C26,'Routes'!$B$4:$B$6,"YES")&gt;0,1,0)</x:f>
        <x:v>0</x:v>
      </x:c>
      <x:c r="E26" s="101" t="str">
        <x:f>IF(D26=0,"NOT_SELECTED",IF(K26=0,"READY","WAITING"))</x:f>
        <x:v>NOT_SELECTED</x:v>
      </x:c>
      <x:c r="F26" s="101" t="str">
        <x:v>asa_structural_0p4</x:v>
      </x:c>
      <x:c r="G26" s="101" t="str">
        <x:v>ASA</x:v>
      </x:c>
      <x:c r="H26" s="109" t="n">
        <x:v>0.24</x:v>
      </x:c>
      <x:c r="I26" s="101" t="str">
        <x:v>07A_ASA_mast_foot_first_article.3mf</x:v>
      </x:c>
      <x:c r="J26" s="107" t="n">
        <x:v>1</x:v>
      </x:c>
      <x:c r="K26" s="107" t="n">
        <x:f>COUNTIFS('Job Gate Map'!$A$4:$A$155,A26,'Job Gate Map'!$D$4:$D$155,"&lt;&gt;PASS")</x:f>
        <x:v>7</x:v>
      </x:c>
      <x:c r="L26" s="101" t="str">
        <x:v>nozzle_0p4_confirmed; asa_profile_calibrated; asa_mast_socket_coupon_pass; asa_m5_nut_coupon_pass; asa_m5_clearance_coupon_pass; geometry_matches_measurements; qidi_studio_roundtrip_confirmed</x:v>
      </x:c>
      <x:c r="M26" s="101" t="str">
        <x:v>First corrected mast foot with rear-lug clamp bolts</x:v>
      </x:c>
      <x:c r="N26" s="101" t="str">
        <x:v>NOT_SELECTED</x:v>
      </x:c>
      <x:c r="O26" s="101" t="str">
        <x:v>KIT-MAST</x:v>
      </x:c>
    </x:row>
    <x:row r="27" ht="82" customHeight="1">
      <x:c r="A27" s="101" t="str">
        <x:v>07B</x:v>
      </x:c>
      <x:c r="B27" s="101" t="str">
        <x:v>optional</x:v>
      </x:c>
      <x:c r="C27" s="101" t="str">
        <x:v>camera_mast_optional</x:v>
      </x:c>
      <x:c r="D27" s="107" t="n">
        <x:f>IF(COUNTIFS('Routes'!$A$4:$A$6,C27,'Routes'!$B$4:$B$6,"YES")&gt;0,1,0)</x:f>
        <x:v>0</x:v>
      </x:c>
      <x:c r="E27" s="101" t="str">
        <x:f>IF(D27=0,"NOT_SELECTED",IF(K27=0,"READY","WAITING"))</x:f>
        <x:v>NOT_SELECTED</x:v>
      </x:c>
      <x:c r="F27" s="101" t="str">
        <x:v>asa_structural_0p4</x:v>
      </x:c>
      <x:c r="G27" s="101" t="str">
        <x:v>ASA</x:v>
      </x:c>
      <x:c r="H27" s="109" t="n">
        <x:v>0.24</x:v>
      </x:c>
      <x:c r="I27" s="101" t="str">
        <x:v>07B_ASA_mast_foot_second.3mf</x:v>
      </x:c>
      <x:c r="J27" s="107" t="n">
        <x:v>1</x:v>
      </x:c>
      <x:c r="K27" s="107" t="n">
        <x:f>COUNTIFS('Job Gate Map'!$A$4:$A$155,A27,'Job Gate Map'!$D$4:$D$155,"&lt;&gt;PASS")</x:f>
        <x:v>8</x:v>
      </x:c>
      <x:c r="L27" s="101" t="str">
        <x:v>nozzle_0p4_confirmed; asa_profile_calibrated; asa_mast_socket_coupon_pass; asa_m5_nut_coupon_pass; asa_m5_clearance_coupon_pass; geometry_matches_measurements; mast_foot_first_article_pass; qidi_studio_roundtrip_confirmed</x:v>
      </x:c>
      <x:c r="M27" s="101" t="str">
        <x:v>Second camera mast foot after first-article acceptance</x:v>
      </x:c>
      <x:c r="N27" s="101" t="str">
        <x:v>NOT_SELECTED</x:v>
      </x:c>
      <x:c r="O27" s="101" t="str">
        <x:v>KIT-MAST</x:v>
      </x:c>
    </x:row>
  </x:sheetData>
  <x:mergeCells>
    <x:mergeCell ref="A1:O1"/>
  </x:mergeCells>
  <x:conditionalFormatting sqref="E4:E27">
    <x:cfRule type="containsText" dxfId="12" priority="1" operator="containsText" text="PASS"/>
    <x:cfRule type="containsText" dxfId="13" priority="2" operator="containsText" text="READY"/>
    <x:cfRule type="containsText" dxfId="14" priority="3" operator="containsText" text="WAITING"/>
    <x:cfRule type="containsText" dxfId="15" priority="4" operator="containsText" text="NOT_TESTED"/>
    <x:cfRule type="containsText" dxfId="16" priority="5" operator="containsText" text="FAIL"/>
    <x:cfRule type="containsText" dxfId="17" priority="6" operator="containsText" text="NOT_SELECTED"/>
  </x:conditionalFormatting>
  <x:conditionalFormatting sqref="N4:N27">
    <x:cfRule type="containsText" dxfId="18" priority="7" operator="containsText" text="PASS"/>
    <x:cfRule type="containsText" dxfId="19" priority="8" operator="containsText" text="READY"/>
    <x:cfRule type="containsText" dxfId="20" priority="9" operator="containsText" text="WAITING"/>
    <x:cfRule type="containsText" dxfId="21" priority="10" operator="containsText" text="NOT_TESTED"/>
    <x:cfRule type="containsText" dxfId="22" priority="11" operator="containsText" text="FAIL"/>
    <x:cfRule type="containsText" dxfId="23" priority="12" operator="containsText" text="NOT_SELECTED"/>
  </x:conditionalFormatting>
  <x:pageMargins left="0.7" right="0.7" top="0.75" bottom="0.75" header="0.3" footer="0.3"/>
  <x:tableParts count="1">
    <x:tablePart xmlns:r="http://schemas.openxmlformats.org/officeDocument/2006/relationships" r:id="R124e3089f0494f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" hidden="0" customWidth="1"/>
    <x:col min="3" max="3" width="9" hidden="0" customWidth="1"/>
    <x:col min="4" max="4" width="15" hidden="0" customWidth="1"/>
    <x:col min="5" max="5" width="22" hidden="0" customWidth="1"/>
    <x:col min="6" max="6" width="28" hidden="0" customWidth="1"/>
    <x:col min="7" max="7" width="14" hidden="0" customWidth="1"/>
    <x:col min="8" max="8" width="46" hidden="0" customWidth="1"/>
    <x:col min="9" max="9" width="22" hidden="0" customWidth="1"/>
    <x:col min="10" max="10" width="14" hidden="0" customWidth="1"/>
    <x:col min="11" max="11" width="14" hidden="0" customWidth="1"/>
    <x:col min="12" max="12" width="56" hidden="0" customWidth="1"/>
  </x:cols>
  <x:sheetData>
    <x:row r="1" ht="30" customHeight="1">
      <x:c r="A1" s="86" t="str">
        <x:v>Part-to-Print-Job Map - 44 job-part rows covering all 37 unique STLs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</x:row>
    <x:row r="3" ht="30" customHeight="1">
      <x:c r="A3" s="93" t="str">
        <x:v>Part file</x:v>
      </x:c>
      <x:c r="B3" s="94" t="str">
        <x:v>Qty</x:v>
      </x:c>
      <x:c r="C3" s="94" t="str">
        <x:v>Job</x:v>
      </x:c>
      <x:c r="D3" s="94" t="str">
        <x:v>Stage</x:v>
      </x:c>
      <x:c r="E3" s="94" t="str">
        <x:v>Selection</x:v>
      </x:c>
      <x:c r="F3" s="94" t="str">
        <x:v>Profile</x:v>
      </x:c>
      <x:c r="G3" s="94" t="str">
        <x:v>Material</x:v>
      </x:c>
      <x:c r="H3" s="94" t="str">
        <x:v>Plate</x:v>
      </x:c>
      <x:c r="I3" s="94" t="str">
        <x:v>Envelope mm</x:v>
      </x:c>
      <x:c r="J3" s="94" t="str">
        <x:v>Volume cm3</x:v>
      </x:c>
      <x:c r="K3" s="94" t="str">
        <x:v>Mesh QA</x:v>
      </x:c>
      <x:c r="L3" s="95" t="str">
        <x:v>Purpose</x:v>
      </x:c>
    </x:row>
    <x:row r="4" ht="42" customHeight="1">
      <x:c r="A4" s="100" t="str">
        <x:v>keyboard_corner_fit_test.stl</x:v>
      </x:c>
      <x:c r="B4" s="106" t="n">
        <x:v>1</x:v>
      </x:c>
      <x:c r="C4" s="100" t="str">
        <x:v>00A</x:v>
      </x:c>
      <x:c r="D4" s="100" t="str">
        <x:v>diagnostic</x:v>
      </x:c>
      <x:c r="E4" s="100" t="str">
        <x:v>required</x:v>
      </x:c>
      <x:c r="F4" s="100" t="str">
        <x:v>petg_tray_structural_0p4</x:v>
      </x:c>
      <x:c r="G4" s="100" t="str">
        <x:v>PETG</x:v>
      </x:c>
      <x:c r="H4" s="100" t="str">
        <x:v>00A_PETG_keyboard_profile_fit_tests.3mf</x:v>
      </x:c>
      <x:c r="I4" s="100" t="str">
        <x:v>58.0 x 58.0 x 11.0</x:v>
      </x:c>
      <x:c r="J4" s="108" t="n">
        <x:v>12.97</x:v>
      </x:c>
      <x:c r="K4" s="100" t="str">
        <x:v>PASS</x:v>
      </x:c>
      <x:c r="L4" s="100" t="str">
        <x:v>Keyboard corner, seam, clearance, and M4 washer tests using the exact tray profile</x:v>
      </x:c>
    </x:row>
    <x:row r="5" ht="42" customHeight="1">
      <x:c r="A5" s="101" t="str">
        <x:v>keyboard_seam_fit_male.stl</x:v>
      </x:c>
      <x:c r="B5" s="107" t="n">
        <x:v>1</x:v>
      </x:c>
      <x:c r="C5" s="101" t="str">
        <x:v>00A</x:v>
      </x:c>
      <x:c r="D5" s="101" t="str">
        <x:v>diagnostic</x:v>
      </x:c>
      <x:c r="E5" s="101" t="str">
        <x:v>required</x:v>
      </x:c>
      <x:c r="F5" s="101" t="str">
        <x:v>petg_tray_structural_0p4</x:v>
      </x:c>
      <x:c r="G5" s="101" t="str">
        <x:v>PETG</x:v>
      </x:c>
      <x:c r="H5" s="101" t="str">
        <x:v>00A_PETG_keyboard_profile_fit_tests.3mf</x:v>
      </x:c>
      <x:c r="I5" s="101" t="str">
        <x:v>60.0 x 38.0 x 4.0</x:v>
      </x:c>
      <x:c r="J5" s="109" t="n">
        <x:v>8.33</x:v>
      </x:c>
      <x:c r="K5" s="101" t="str">
        <x:v>PASS</x:v>
      </x:c>
      <x:c r="L5" s="101" t="str">
        <x:v>Keyboard corner, seam, clearance, and M4 washer tests using the exact tray profile</x:v>
      </x:c>
    </x:row>
    <x:row r="6" ht="42" customHeight="1">
      <x:c r="A6" s="101" t="str">
        <x:v>keyboard_seam_fit_female.stl</x:v>
      </x:c>
      <x:c r="B6" s="107" t="n">
        <x:v>1</x:v>
      </x:c>
      <x:c r="C6" s="101" t="str">
        <x:v>00A</x:v>
      </x:c>
      <x:c r="D6" s="101" t="str">
        <x:v>diagnostic</x:v>
      </x:c>
      <x:c r="E6" s="101" t="str">
        <x:v>required</x:v>
      </x:c>
      <x:c r="F6" s="101" t="str">
        <x:v>petg_tray_structural_0p4</x:v>
      </x:c>
      <x:c r="G6" s="101" t="str">
        <x:v>PETG</x:v>
      </x:c>
      <x:c r="H6" s="101" t="str">
        <x:v>00A_PETG_keyboard_profile_fit_tests.3mf</x:v>
      </x:c>
      <x:c r="I6" s="101" t="str">
        <x:v>37.99 x 38.0 x 4.0</x:v>
      </x:c>
      <x:c r="J6" s="109" t="n">
        <x:v>3.01</x:v>
      </x:c>
      <x:c r="K6" s="101" t="str">
        <x:v>PASS</x:v>
      </x:c>
      <x:c r="L6" s="101" t="str">
        <x:v>Keyboard corner, seam, clearance, and M4 washer tests using the exact tray profile</x:v>
      </x:c>
    </x:row>
    <x:row r="7" ht="42" customHeight="1">
      <x:c r="A7" s="101" t="str">
        <x:v>hardware_fit_gauge.stl</x:v>
      </x:c>
      <x:c r="B7" s="107" t="n">
        <x:v>1</x:v>
      </x:c>
      <x:c r="C7" s="101" t="str">
        <x:v>00A</x:v>
      </x:c>
      <x:c r="D7" s="101" t="str">
        <x:v>diagnostic</x:v>
      </x:c>
      <x:c r="E7" s="101" t="str">
        <x:v>required</x:v>
      </x:c>
      <x:c r="F7" s="101" t="str">
        <x:v>petg_tray_structural_0p4</x:v>
      </x:c>
      <x:c r="G7" s="101" t="str">
        <x:v>PETG</x:v>
      </x:c>
      <x:c r="H7" s="101" t="str">
        <x:v>00A_PETG_keyboard_profile_fit_tests.3mf</x:v>
      </x:c>
      <x:c r="I7" s="101" t="str">
        <x:v>160.0 x 30.0 x 6.0</x:v>
      </x:c>
      <x:c r="J7" s="109" t="n">
        <x:v>27.82</x:v>
      </x:c>
      <x:c r="K7" s="101" t="str">
        <x:v>PASS</x:v>
      </x:c>
      <x:c r="L7" s="101" t="str">
        <x:v>Keyboard corner, seam, clearance, and M4 washer tests using the exact tray profile</x:v>
      </x:c>
    </x:row>
    <x:row r="8" ht="42" customHeight="1">
      <x:c r="A8" s="101" t="str">
        <x:v>m4_washer_fit_gauge.stl</x:v>
      </x:c>
      <x:c r="B8" s="107" t="n">
        <x:v>1</x:v>
      </x:c>
      <x:c r="C8" s="101" t="str">
        <x:v>00A</x:v>
      </x:c>
      <x:c r="D8" s="101" t="str">
        <x:v>diagnostic</x:v>
      </x:c>
      <x:c r="E8" s="101" t="str">
        <x:v>required</x:v>
      </x:c>
      <x:c r="F8" s="101" t="str">
        <x:v>petg_tray_structural_0p4</x:v>
      </x:c>
      <x:c r="G8" s="101" t="str">
        <x:v>PETG</x:v>
      </x:c>
      <x:c r="H8" s="101" t="str">
        <x:v>00A_PETG_keyboard_profile_fit_tests.3mf</x:v>
      </x:c>
      <x:c r="I8" s="101" t="str">
        <x:v>78.0 x 30.0 x 6.0</x:v>
      </x:c>
      <x:c r="J8" s="109" t="n">
        <x:v>13.57</x:v>
      </x:c>
      <x:c r="K8" s="101" t="str">
        <x:v>PASS</x:v>
      </x:c>
      <x:c r="L8" s="101" t="str">
        <x:v>Keyboard corner, seam, clearance, and M4 washer tests using the exact tray profile</x:v>
      </x:c>
    </x:row>
    <x:row r="9" ht="42" customHeight="1">
      <x:c r="A9" s="101" t="str">
        <x:v>phone_width_fit_test.stl</x:v>
      </x:c>
      <x:c r="B9" s="107" t="n">
        <x:v>1</x:v>
      </x:c>
      <x:c r="C9" s="101" t="str">
        <x:v>00B</x:v>
      </x:c>
      <x:c r="D9" s="101" t="str">
        <x:v>diagnostic</x:v>
      </x:c>
      <x:c r="E9" s="101" t="str">
        <x:v>required</x:v>
      </x:c>
      <x:c r="F9" s="101" t="str">
        <x:v>petg_cradle_0p4</x:v>
      </x:c>
      <x:c r="G9" s="101" t="str">
        <x:v>PETG</x:v>
      </x:c>
      <x:c r="H9" s="101" t="str">
        <x:v>00B_PETG_phone_profile_fit_tests.3mf</x:v>
      </x:c>
      <x:c r="I9" s="101" t="str">
        <x:v>86.3 x 36.0 x 9.0</x:v>
      </x:c>
      <x:c r="J9" s="109" t="n">
        <x:v>10.66</x:v>
      </x:c>
      <x:c r="K9" s="101" t="str">
        <x:v>PASS</x:v>
      </x:c>
      <x:c r="L9" s="101" t="str">
        <x:v>Phone width, horizontal M4 insert, cable-saddle, and washer tests using the exact cradle profile</x:v>
      </x:c>
    </x:row>
    <x:row r="10" ht="42" customHeight="1">
      <x:c r="A10" s="101" t="str">
        <x:v>m4_horizontal_insert_fit_gauge.stl</x:v>
      </x:c>
      <x:c r="B10" s="107" t="n">
        <x:v>1</x:v>
      </x:c>
      <x:c r="C10" s="101" t="str">
        <x:v>00B</x:v>
      </x:c>
      <x:c r="D10" s="101" t="str">
        <x:v>diagnostic</x:v>
      </x:c>
      <x:c r="E10" s="101" t="str">
        <x:v>required</x:v>
      </x:c>
      <x:c r="F10" s="101" t="str">
        <x:v>petg_cradle_0p4</x:v>
      </x:c>
      <x:c r="G10" s="101" t="str">
        <x:v>PETG</x:v>
      </x:c>
      <x:c r="H10" s="101" t="str">
        <x:v>00B_PETG_phone_profile_fit_tests.3mf</x:v>
      </x:c>
      <x:c r="I10" s="101" t="str">
        <x:v>26.0 x 80.0 x 16.0</x:v>
      </x:c>
      <x:c r="J10" s="109" t="n">
        <x:v>31.59</x:v>
      </x:c>
      <x:c r="K10" s="101" t="str">
        <x:v>PASS</x:v>
      </x:c>
      <x:c r="L10" s="101" t="str">
        <x:v>Phone width, horizontal M4 insert, cable-saddle, and washer tests using the exact cradle profile</x:v>
      </x:c>
    </x:row>
    <x:row r="11" ht="42" customHeight="1">
      <x:c r="A11" s="101" t="str">
        <x:v>cable_tie_saddle_fit_gauge.stl</x:v>
      </x:c>
      <x:c r="B11" s="107" t="n">
        <x:v>1</x:v>
      </x:c>
      <x:c r="C11" s="101" t="str">
        <x:v>00B</x:v>
      </x:c>
      <x:c r="D11" s="101" t="str">
        <x:v>diagnostic</x:v>
      </x:c>
      <x:c r="E11" s="101" t="str">
        <x:v>required</x:v>
      </x:c>
      <x:c r="F11" s="101" t="str">
        <x:v>petg_cradle_0p4</x:v>
      </x:c>
      <x:c r="G11" s="101" t="str">
        <x:v>PETG</x:v>
      </x:c>
      <x:c r="H11" s="101" t="str">
        <x:v>00B_PETG_phone_profile_fit_tests.3mf</x:v>
      </x:c>
      <x:c r="I11" s="101" t="str">
        <x:v>84.0 x 30.0 x 7.0</x:v>
      </x:c>
      <x:c r="J11" s="109" t="n">
        <x:v>11.11</x:v>
      </x:c>
      <x:c r="K11" s="101" t="str">
        <x:v>PASS</x:v>
      </x:c>
      <x:c r="L11" s="101" t="str">
        <x:v>Phone width, horizontal M4 insert, cable-saddle, and washer tests using the exact cradle profile</x:v>
      </x:c>
    </x:row>
    <x:row r="12" ht="42" customHeight="1">
      <x:c r="A12" s="101" t="str">
        <x:v>m4_washer_fit_gauge.stl</x:v>
      </x:c>
      <x:c r="B12" s="107" t="n">
        <x:v>1</x:v>
      </x:c>
      <x:c r="C12" s="101" t="str">
        <x:v>00B</x:v>
      </x:c>
      <x:c r="D12" s="101" t="str">
        <x:v>diagnostic</x:v>
      </x:c>
      <x:c r="E12" s="101" t="str">
        <x:v>required</x:v>
      </x:c>
      <x:c r="F12" s="101" t="str">
        <x:v>petg_cradle_0p4</x:v>
      </x:c>
      <x:c r="G12" s="101" t="str">
        <x:v>PETG</x:v>
      </x:c>
      <x:c r="H12" s="101" t="str">
        <x:v>00B_PETG_phone_profile_fit_tests.3mf</x:v>
      </x:c>
      <x:c r="I12" s="101" t="str">
        <x:v>78.0 x 30.0 x 6.0</x:v>
      </x:c>
      <x:c r="J12" s="109" t="n">
        <x:v>13.57</x:v>
      </x:c>
      <x:c r="K12" s="101" t="str">
        <x:v>PASS</x:v>
      </x:c>
      <x:c r="L12" s="101" t="str">
        <x:v>Phone width, horizontal M4 insert, cable-saddle, and washer tests using the exact cradle profile</x:v>
      </x:c>
    </x:row>
    <x:row r="13" ht="42" customHeight="1">
      <x:c r="A13" s="101" t="str">
        <x:v>compliant_tool_grip_fit_test.stl</x:v>
      </x:c>
      <x:c r="B13" s="107" t="n">
        <x:v>1</x:v>
      </x:c>
      <x:c r="C13" s="101" t="str">
        <x:v>00C</x:v>
      </x:c>
      <x:c r="D13" s="101" t="str">
        <x:v>diagnostic</x:v>
      </x:c>
      <x:c r="E13" s="101" t="str">
        <x:v>required</x:v>
      </x:c>
      <x:c r="F13" s="101" t="str">
        <x:v>petg_precision_0p4</x:v>
      </x:c>
      <x:c r="G13" s="101" t="str">
        <x:v>PETG</x:v>
      </x:c>
      <x:c r="H13" s="101" t="str">
        <x:v>00C_PETG_tool_profile_fit_tests.3mf</x:v>
      </x:c>
      <x:c r="I13" s="101" t="str">
        <x:v>28.0 x 24.0 x 34.0</x:v>
      </x:c>
      <x:c r="J13" s="109" t="n">
        <x:v>21.38</x:v>
      </x:c>
      <x:c r="K13" s="101" t="str">
        <x:v>PASS</x:v>
      </x:c>
      <x:c r="L13" s="101" t="str">
        <x:v>RoArm grip, stepped spring seat, M3 insert, and M3 head tests using the exact tool profile</x:v>
      </x:c>
    </x:row>
    <x:row r="14" ht="42" customHeight="1">
      <x:c r="A14" s="101" t="str">
        <x:v>spring_fit_gauge.stl</x:v>
      </x:c>
      <x:c r="B14" s="107" t="n">
        <x:v>1</x:v>
      </x:c>
      <x:c r="C14" s="101" t="str">
        <x:v>00C</x:v>
      </x:c>
      <x:c r="D14" s="101" t="str">
        <x:v>diagnostic</x:v>
      </x:c>
      <x:c r="E14" s="101" t="str">
        <x:v>required</x:v>
      </x:c>
      <x:c r="F14" s="101" t="str">
        <x:v>petg_precision_0p4</x:v>
      </x:c>
      <x:c r="G14" s="101" t="str">
        <x:v>PETG</x:v>
      </x:c>
      <x:c r="H14" s="101" t="str">
        <x:v>00C_PETG_tool_profile_fit_tests.3mf</x:v>
      </x:c>
      <x:c r="I14" s="101" t="str">
        <x:v>30.0 x 30.0 x 14.0</x:v>
      </x:c>
      <x:c r="J14" s="109" t="n">
        <x:v>11.15</x:v>
      </x:c>
      <x:c r="K14" s="101" t="str">
        <x:v>PASS</x:v>
      </x:c>
      <x:c r="L14" s="101" t="str">
        <x:v>RoArm grip, stepped spring seat, M3 insert, and M3 head tests using the exact tool profile</x:v>
      </x:c>
    </x:row>
    <x:row r="15" ht="42" customHeight="1">
      <x:c r="A15" s="101" t="str">
        <x:v>m3_insert_fit_gauge.stl</x:v>
      </x:c>
      <x:c r="B15" s="107" t="n">
        <x:v>1</x:v>
      </x:c>
      <x:c r="C15" s="101" t="str">
        <x:v>00C</x:v>
      </x:c>
      <x:c r="D15" s="101" t="str">
        <x:v>diagnostic</x:v>
      </x:c>
      <x:c r="E15" s="101" t="str">
        <x:v>required</x:v>
      </x:c>
      <x:c r="F15" s="101" t="str">
        <x:v>petg_precision_0p4</x:v>
      </x:c>
      <x:c r="G15" s="101" t="str">
        <x:v>PETG</x:v>
      </x:c>
      <x:c r="H15" s="101" t="str">
        <x:v>00C_PETG_tool_profile_fit_tests.3mf</x:v>
      </x:c>
      <x:c r="I15" s="101" t="str">
        <x:v>78.0 x 30.0 x 8.0</x:v>
      </x:c>
      <x:c r="J15" s="109" t="n">
        <x:v>18.29</x:v>
      </x:c>
      <x:c r="K15" s="101" t="str">
        <x:v>PASS</x:v>
      </x:c>
      <x:c r="L15" s="101" t="str">
        <x:v>RoArm grip, stepped spring seat, M3 insert, and M3 head tests using the exact tool profile</x:v>
      </x:c>
    </x:row>
    <x:row r="16" ht="42" customHeight="1">
      <x:c r="A16" s="101" t="str">
        <x:v>m3_head_fit_gauge.stl</x:v>
      </x:c>
      <x:c r="B16" s="107" t="n">
        <x:v>1</x:v>
      </x:c>
      <x:c r="C16" s="101" t="str">
        <x:v>00C</x:v>
      </x:c>
      <x:c r="D16" s="101" t="str">
        <x:v>diagnostic</x:v>
      </x:c>
      <x:c r="E16" s="101" t="str">
        <x:v>required</x:v>
      </x:c>
      <x:c r="F16" s="101" t="str">
        <x:v>petg_precision_0p4</x:v>
      </x:c>
      <x:c r="G16" s="101" t="str">
        <x:v>PETG</x:v>
      </x:c>
      <x:c r="H16" s="101" t="str">
        <x:v>00C_PETG_tool_profile_fit_tests.3mf</x:v>
      </x:c>
      <x:c r="I16" s="101" t="str">
        <x:v>78.0 x 30.0 x 6.0</x:v>
      </x:c>
      <x:c r="J16" s="109" t="n">
        <x:v>13.66</x:v>
      </x:c>
      <x:c r="K16" s="101" t="str">
        <x:v>PASS</x:v>
      </x:c>
      <x:c r="L16" s="101" t="str">
        <x:v>RoArm grip, stepped spring seat, M3 insert, and M3 head tests using the exact tool profile</x:v>
      </x:c>
    </x:row>
    <x:row r="17" ht="42" customHeight="1">
      <x:c r="A17" s="101" t="str">
        <x:v>stylus_diameter_gauge.stl</x:v>
      </x:c>
      <x:c r="B17" s="107" t="n">
        <x:v>1</x:v>
      </x:c>
      <x:c r="C17" s="101" t="str">
        <x:v>00D</x:v>
      </x:c>
      <x:c r="D17" s="101" t="str">
        <x:v>diagnostic</x:v>
      </x:c>
      <x:c r="E17" s="101" t="str">
        <x:v>required</x:v>
      </x:c>
      <x:c r="F17" s="101" t="str">
        <x:v>petg_adapter_0p4</x:v>
      </x:c>
      <x:c r="G17" s="101" t="str">
        <x:v>PETG</x:v>
      </x:c>
      <x:c r="H17" s="101" t="str">
        <x:v>00D_PETG_adapter_profile_fit_tests.3mf</x:v>
      </x:c>
      <x:c r="I17" s="101" t="str">
        <x:v>92.0 x 28.0 x 4.0</x:v>
      </x:c>
      <x:c r="J17" s="109" t="n">
        <x:v>8.91</x:v>
      </x:c>
      <x:c r="K17" s="101" t="str">
        <x:v>PASS</x:v>
      </x:c>
      <x:c r="L17" s="101" t="str">
        <x:v>Stylus sliding-fit and horizontal thread-pilot tests using the exact adapter profile</x:v>
      </x:c>
    </x:row>
    <x:row r="18" ht="42" customHeight="1">
      <x:c r="A18" s="101" t="str">
        <x:v>thread_pilot_fit_gauge.stl</x:v>
      </x:c>
      <x:c r="B18" s="107" t="n">
        <x:v>1</x:v>
      </x:c>
      <x:c r="C18" s="101" t="str">
        <x:v>00D</x:v>
      </x:c>
      <x:c r="D18" s="101" t="str">
        <x:v>diagnostic</x:v>
      </x:c>
      <x:c r="E18" s="101" t="str">
        <x:v>required</x:v>
      </x:c>
      <x:c r="F18" s="101" t="str">
        <x:v>petg_adapter_0p4</x:v>
      </x:c>
      <x:c r="G18" s="101" t="str">
        <x:v>PETG</x:v>
      </x:c>
      <x:c r="H18" s="101" t="str">
        <x:v>00D_PETG_adapter_profile_fit_tests.3mf</x:v>
      </x:c>
      <x:c r="I18" s="101" t="str">
        <x:v>26.0 x 106.0 x 18.0</x:v>
      </x:c>
      <x:c r="J18" s="109" t="n">
        <x:v>49.33</x:v>
      </x:c>
      <x:c r="K18" s="101" t="str">
        <x:v>PASS</x:v>
      </x:c>
      <x:c r="L18" s="101" t="str">
        <x:v>Stylus sliding-fit and horizontal thread-pilot tests using the exact adapter profile</x:v>
      </x:c>
    </x:row>
    <x:row r="19" ht="42" customHeight="1">
      <x:c r="A19" s="101" t="str">
        <x:v>hardware_fit_gauge.stl</x:v>
      </x:c>
      <x:c r="B19" s="107" t="n">
        <x:v>1</x:v>
      </x:c>
      <x:c r="C19" s="101" t="str">
        <x:v>00E</x:v>
      </x:c>
      <x:c r="D19" s="101" t="str">
        <x:v>diagnostic</x:v>
      </x:c>
      <x:c r="E19" s="101" t="str">
        <x:v>required</x:v>
      </x:c>
      <x:c r="F19" s="101" t="str">
        <x:v>petg_general_0p4</x:v>
      </x:c>
      <x:c r="G19" s="101" t="str">
        <x:v>PETG</x:v>
      </x:c>
      <x:c r="H19" s="101" t="str">
        <x:v>00E_PETG_general_setup_tests.3mf</x:v>
      </x:c>
      <x:c r="I19" s="101" t="str">
        <x:v>160.0 x 30.0 x 6.0</x:v>
      </x:c>
      <x:c r="J19" s="109" t="n">
        <x:v>27.82</x:v>
      </x:c>
      <x:c r="K19" s="101" t="str">
        <x:v>PASS</x:v>
      </x:c>
      <x:c r="L19" s="101" t="str">
        <x:v>General clearance, screw-head, washer, camera-hex, and TPU-retention setup tests</x:v>
      </x:c>
    </x:row>
    <x:row r="20" ht="42" customHeight="1">
      <x:c r="A20" s="101" t="str">
        <x:v>setup_hardware_fit_gauge.stl</x:v>
      </x:c>
      <x:c r="B20" s="107" t="n">
        <x:v>1</x:v>
      </x:c>
      <x:c r="C20" s="101" t="str">
        <x:v>00E</x:v>
      </x:c>
      <x:c r="D20" s="101" t="str">
        <x:v>diagnostic</x:v>
      </x:c>
      <x:c r="E20" s="101" t="str">
        <x:v>required</x:v>
      </x:c>
      <x:c r="F20" s="101" t="str">
        <x:v>petg_general_0p4</x:v>
      </x:c>
      <x:c r="G20" s="101" t="str">
        <x:v>PETG</x:v>
      </x:c>
      <x:c r="H20" s="101" t="str">
        <x:v>00E_PETG_general_setup_tests.3mf</x:v>
      </x:c>
      <x:c r="I20" s="101" t="str">
        <x:v>160.0 x 84.0 x 8.0</x:v>
      </x:c>
      <x:c r="J20" s="109" t="n">
        <x:v>104.21</x:v>
      </x:c>
      <x:c r="K20" s="101" t="str">
        <x:v>PASS</x:v>
      </x:c>
      <x:c r="L20" s="101" t="str">
        <x:v>General clearance, screw-head, washer, camera-hex, and TPU-retention setup tests</x:v>
      </x:c>
    </x:row>
    <x:row r="21" ht="42" customHeight="1">
      <x:c r="A21" s="101" t="str">
        <x:v>tpu_tip_retention_gauge.stl</x:v>
      </x:c>
      <x:c r="B21" s="107" t="n">
        <x:v>1</x:v>
      </x:c>
      <x:c r="C21" s="101" t="str">
        <x:v>00E</x:v>
      </x:c>
      <x:c r="D21" s="101" t="str">
        <x:v>diagnostic</x:v>
      </x:c>
      <x:c r="E21" s="101" t="str">
        <x:v>required</x:v>
      </x:c>
      <x:c r="F21" s="101" t="str">
        <x:v>petg_general_0p4</x:v>
      </x:c>
      <x:c r="G21" s="101" t="str">
        <x:v>PETG</x:v>
      </x:c>
      <x:c r="H21" s="101" t="str">
        <x:v>00E_PETG_general_setup_tests.3mf</x:v>
      </x:c>
      <x:c r="I21" s="101" t="str">
        <x:v>38.0 x 22.0 x 14.0</x:v>
      </x:c>
      <x:c r="J21" s="109" t="n">
        <x:v>2.89</x:v>
      </x:c>
      <x:c r="K21" s="101" t="str">
        <x:v>PASS</x:v>
      </x:c>
      <x:c r="L21" s="101" t="str">
        <x:v>General clearance, screw-head, washer, camera-hex, and TPU-retention setup tests</x:v>
      </x:c>
    </x:row>
    <x:row r="22" ht="42" customHeight="1">
      <x:c r="A22" s="101" t="str">
        <x:v>hardware_fit_gauge.stl</x:v>
      </x:c>
      <x:c r="B22" s="107" t="n">
        <x:v>1</x:v>
      </x:c>
      <x:c r="C22" s="101" t="str">
        <x:v>00F</x:v>
      </x:c>
      <x:c r="D22" s="101" t="str">
        <x:v>diagnostic</x:v>
      </x:c>
      <x:c r="E22" s="101" t="str">
        <x:v>required</x:v>
      </x:c>
      <x:c r="F22" s="101" t="str">
        <x:v>petg_calibration_0p4</x:v>
      </x:c>
      <x:c r="G22" s="101" t="str">
        <x:v>PETG</x:v>
      </x:c>
      <x:c r="H22" s="101" t="str">
        <x:v>00F_PETG_calibration_profile_clearance_test.3mf</x:v>
      </x:c>
      <x:c r="I22" s="101" t="str">
        <x:v>160.0 x 30.0 x 6.0</x:v>
      </x:c>
      <x:c r="J22" s="109" t="n">
        <x:v>27.82</x:v>
      </x:c>
      <x:c r="K22" s="101" t="str">
        <x:v>PASS</x:v>
      </x:c>
      <x:c r="L22" s="101" t="str">
        <x:v>M4 clearance and washer verification using the exact fine-layer calibration-puck profile</x:v>
      </x:c>
    </x:row>
    <x:row r="23" ht="42" customHeight="1">
      <x:c r="A23" s="101" t="str">
        <x:v>m4_washer_fit_gauge.stl</x:v>
      </x:c>
      <x:c r="B23" s="107" t="n">
        <x:v>1</x:v>
      </x:c>
      <x:c r="C23" s="101" t="str">
        <x:v>00F</x:v>
      </x:c>
      <x:c r="D23" s="101" t="str">
        <x:v>diagnostic</x:v>
      </x:c>
      <x:c r="E23" s="101" t="str">
        <x:v>required</x:v>
      </x:c>
      <x:c r="F23" s="101" t="str">
        <x:v>petg_calibration_0p4</x:v>
      </x:c>
      <x:c r="G23" s="101" t="str">
        <x:v>PETG</x:v>
      </x:c>
      <x:c r="H23" s="101" t="str">
        <x:v>00F_PETG_calibration_profile_clearance_test.3mf</x:v>
      </x:c>
      <x:c r="I23" s="101" t="str">
        <x:v>78.0 x 30.0 x 6.0</x:v>
      </x:c>
      <x:c r="J23" s="109" t="n">
        <x:v>13.57</x:v>
      </x:c>
      <x:c r="K23" s="101" t="str">
        <x:v>PASS</x:v>
      </x:c>
      <x:c r="L23" s="101" t="str">
        <x:v>M4 clearance and washer verification using the exact fine-layer calibration-puck profile</x:v>
      </x:c>
    </x:row>
    <x:row r="24" ht="42" customHeight="1">
      <x:c r="A24" s="101" t="str">
        <x:v>keyboard_tray_left.stl</x:v>
      </x:c>
      <x:c r="B24" s="107" t="n">
        <x:v>1</x:v>
      </x:c>
      <x:c r="C24" s="101" t="str">
        <x:v>01</x:v>
      </x:c>
      <x:c r="D24" s="101" t="str">
        <x:v>first_article</x:v>
      </x:c>
      <x:c r="E24" s="101" t="str">
        <x:v>required</x:v>
      </x:c>
      <x:c r="F24" s="101" t="str">
        <x:v>petg_tray_structural_0p4</x:v>
      </x:c>
      <x:c r="G24" s="101" t="str">
        <x:v>PETG</x:v>
      </x:c>
      <x:c r="H24" s="101" t="str">
        <x:v>01_PETG_keyboard_left.3mf</x:v>
      </x:c>
      <x:c r="I24" s="101" t="str">
        <x:v>184.5 x 157.0 x 11.0</x:v>
      </x:c>
      <x:c r="J24" s="109" t="n">
        <x:v>71.06</x:v>
      </x:c>
      <x:c r="K24" s="101" t="str">
        <x:v>PASS</x:v>
      </x:c>
      <x:c r="L24" s="101" t="str">
        <x:v>Left keyboard tray first article</x:v>
      </x:c>
    </x:row>
    <x:row r="25" ht="42" customHeight="1">
      <x:c r="A25" s="101" t="str">
        <x:v>keyboard_tray_right.stl</x:v>
      </x:c>
      <x:c r="B25" s="107" t="n">
        <x:v>1</x:v>
      </x:c>
      <x:c r="C25" s="101" t="str">
        <x:v>02</x:v>
      </x:c>
      <x:c r="D25" s="101" t="str">
        <x:v>production</x:v>
      </x:c>
      <x:c r="E25" s="101" t="str">
        <x:v>required</x:v>
      </x:c>
      <x:c r="F25" s="101" t="str">
        <x:v>petg_tray_structural_0p4</x:v>
      </x:c>
      <x:c r="G25" s="101" t="str">
        <x:v>PETG</x:v>
      </x:c>
      <x:c r="H25" s="101" t="str">
        <x:v>02_PETG_keyboard_right.3mf</x:v>
      </x:c>
      <x:c r="I25" s="101" t="str">
        <x:v>162.5 x 157.0 x 11.0</x:v>
      </x:c>
      <x:c r="J25" s="109" t="n">
        <x:v>56.08</x:v>
      </x:c>
      <x:c r="K25" s="101" t="str">
        <x:v>PASS</x:v>
      </x:c>
      <x:c r="L25" s="101" t="str">
        <x:v>Right keyboard tray after left first-article acceptance</x:v>
      </x:c>
    </x:row>
    <x:row r="26" ht="42" customHeight="1">
      <x:c r="A26" s="101" t="str">
        <x:v>phone_cradle_a16.stl</x:v>
      </x:c>
      <x:c r="B26" s="107" t="n">
        <x:v>1</x:v>
      </x:c>
      <x:c r="C26" s="101" t="str">
        <x:v>03A</x:v>
      </x:c>
      <x:c r="D26" s="101" t="str">
        <x:v>production</x:v>
      </x:c>
      <x:c r="E26" s="101" t="str">
        <x:v>required</x:v>
      </x:c>
      <x:c r="F26" s="101" t="str">
        <x:v>petg_cradle_0p4</x:v>
      </x:c>
      <x:c r="G26" s="101" t="str">
        <x:v>PETG</x:v>
      </x:c>
      <x:c r="H26" s="101" t="str">
        <x:v>03A_PETG_phone_cradle.3mf</x:v>
      </x:c>
      <x:c r="I26" s="101" t="str">
        <x:v>117.3 x 172.8 x 20.0</x:v>
      </x:c>
      <x:c r="J26" s="109" t="n">
        <x:v>46.05</x:v>
      </x:c>
      <x:c r="K26" s="101" t="str">
        <x:v>PASS</x:v>
      </x:c>
      <x:c r="L26" s="101" t="str">
        <x:v>Phone cradle with closed mounting ears and raised cable saddle</x:v>
      </x:c>
    </x:row>
    <x:row r="27" ht="42" customHeight="1">
      <x:c r="A27" s="101" t="str">
        <x:v>keyboard_rear_clamp.stl</x:v>
      </x:c>
      <x:c r="B27" s="107" t="n">
        <x:v>2</x:v>
      </x:c>
      <x:c r="C27" s="101" t="str">
        <x:v>03B</x:v>
      </x:c>
      <x:c r="D27" s="101" t="str">
        <x:v>production</x:v>
      </x:c>
      <x:c r="E27" s="101" t="str">
        <x:v>required</x:v>
      </x:c>
      <x:c r="F27" s="101" t="str">
        <x:v>petg_general_0p4</x:v>
      </x:c>
      <x:c r="G27" s="101" t="str">
        <x:v>PETG</x:v>
      </x:c>
      <x:c r="H27" s="101" t="str">
        <x:v>03B_PETG_keyboard_clamps.3mf</x:v>
      </x:c>
      <x:c r="I27" s="101" t="str">
        <x:v>52.0 x 34.0 x 25.0</x:v>
      </x:c>
      <x:c r="J27" s="109" t="n">
        <x:v>13.99</x:v>
      </x:c>
      <x:c r="K27" s="101" t="str">
        <x:v>PASS</x:v>
      </x:c>
      <x:c r="L27" s="101" t="str">
        <x:v>Two scaled, gusseted keyboard rear clamps</x:v>
      </x:c>
    </x:row>
    <x:row r="28" ht="42" customHeight="1">
      <x:c r="A28" s="101" t="str">
        <x:v>tag_frame_ID0_55mm.stl</x:v>
      </x:c>
      <x:c r="B28" s="107" t="n">
        <x:v>1</x:v>
      </x:c>
      <x:c r="C28" s="101" t="str">
        <x:v>03C1</x:v>
      </x:c>
      <x:c r="D28" s="101" t="str">
        <x:v>first_article</x:v>
      </x:c>
      <x:c r="E28" s="101" t="str">
        <x:v>required</x:v>
      </x:c>
      <x:c r="F28" s="101" t="str">
        <x:v>petg_general_0p4</x:v>
      </x:c>
      <x:c r="G28" s="101" t="str">
        <x:v>PETG</x:v>
      </x:c>
      <x:c r="H28" s="101" t="str">
        <x:v>03C1_PETG_tag_frame_first_article.3mf</x:v>
      </x:c>
      <x:c r="I28" s="101" t="str">
        <x:v>78.0 x 78.0 x 4.0</x:v>
      </x:c>
      <x:c r="J28" s="109" t="n">
        <x:v>22.43</x:v>
      </x:c>
      <x:c r="K28" s="101" t="str">
        <x:v>PASS</x:v>
      </x:c>
      <x:c r="L28" s="101" t="str">
        <x:v>ID0 tag frame first article with isolated artwork and washer zones</x:v>
      </x:c>
    </x:row>
    <x:row r="29" ht="42" customHeight="1">
      <x:c r="A29" s="101" t="str">
        <x:v>tag_frame_ID1_55mm.stl</x:v>
      </x:c>
      <x:c r="B29" s="107" t="n">
        <x:v>1</x:v>
      </x:c>
      <x:c r="C29" s="101" t="str">
        <x:v>03C2</x:v>
      </x:c>
      <x:c r="D29" s="101" t="str">
        <x:v>production</x:v>
      </x:c>
      <x:c r="E29" s="101" t="str">
        <x:v>required</x:v>
      </x:c>
      <x:c r="F29" s="101" t="str">
        <x:v>petg_general_0p4</x:v>
      </x:c>
      <x:c r="G29" s="101" t="str">
        <x:v>PETG</x:v>
      </x:c>
      <x:c r="H29" s="101" t="str">
        <x:v>03C2_PETG_tag_frames_remaining.3mf</x:v>
      </x:c>
      <x:c r="I29" s="101" t="str">
        <x:v>78.0 x 78.0 x 4.0</x:v>
      </x:c>
      <x:c r="J29" s="109" t="n">
        <x:v>22.43</x:v>
      </x:c>
      <x:c r="K29" s="101" t="str">
        <x:v>PASS</x:v>
      </x:c>
      <x:c r="L29" s="101" t="str">
        <x:v>Remaining ID1-ID5 tag frames after first-article acceptance</x:v>
      </x:c>
    </x:row>
    <x:row r="30" ht="42" customHeight="1">
      <x:c r="A30" s="101" t="str">
        <x:v>tag_frame_ID2_55mm.stl</x:v>
      </x:c>
      <x:c r="B30" s="107" t="n">
        <x:v>1</x:v>
      </x:c>
      <x:c r="C30" s="101" t="str">
        <x:v>03C2</x:v>
      </x:c>
      <x:c r="D30" s="101" t="str">
        <x:v>production</x:v>
      </x:c>
      <x:c r="E30" s="101" t="str">
        <x:v>required</x:v>
      </x:c>
      <x:c r="F30" s="101" t="str">
        <x:v>petg_general_0p4</x:v>
      </x:c>
      <x:c r="G30" s="101" t="str">
        <x:v>PETG</x:v>
      </x:c>
      <x:c r="H30" s="101" t="str">
        <x:v>03C2_PETG_tag_frames_remaining.3mf</x:v>
      </x:c>
      <x:c r="I30" s="101" t="str">
        <x:v>78.0 x 78.0 x 4.0</x:v>
      </x:c>
      <x:c r="J30" s="109" t="n">
        <x:v>22.43</x:v>
      </x:c>
      <x:c r="K30" s="101" t="str">
        <x:v>PASS</x:v>
      </x:c>
      <x:c r="L30" s="101" t="str">
        <x:v>Remaining ID1-ID5 tag frames after first-article acceptance</x:v>
      </x:c>
    </x:row>
    <x:row r="31" ht="42" customHeight="1">
      <x:c r="A31" s="101" t="str">
        <x:v>tag_frame_ID3_55mm.stl</x:v>
      </x:c>
      <x:c r="B31" s="107" t="n">
        <x:v>1</x:v>
      </x:c>
      <x:c r="C31" s="101" t="str">
        <x:v>03C2</x:v>
      </x:c>
      <x:c r="D31" s="101" t="str">
        <x:v>production</x:v>
      </x:c>
      <x:c r="E31" s="101" t="str">
        <x:v>required</x:v>
      </x:c>
      <x:c r="F31" s="101" t="str">
        <x:v>petg_general_0p4</x:v>
      </x:c>
      <x:c r="G31" s="101" t="str">
        <x:v>PETG</x:v>
      </x:c>
      <x:c r="H31" s="101" t="str">
        <x:v>03C2_PETG_tag_frames_remaining.3mf</x:v>
      </x:c>
      <x:c r="I31" s="101" t="str">
        <x:v>78.0 x 78.0 x 4.0</x:v>
      </x:c>
      <x:c r="J31" s="109" t="n">
        <x:v>22.43</x:v>
      </x:c>
      <x:c r="K31" s="101" t="str">
        <x:v>PASS</x:v>
      </x:c>
      <x:c r="L31" s="101" t="str">
        <x:v>Remaining ID1-ID5 tag frames after first-article acceptance</x:v>
      </x:c>
    </x:row>
    <x:row r="32" ht="42" customHeight="1">
      <x:c r="A32" s="101" t="str">
        <x:v>tag_frame_ID4_55mm.stl</x:v>
      </x:c>
      <x:c r="B32" s="107" t="n">
        <x:v>1</x:v>
      </x:c>
      <x:c r="C32" s="101" t="str">
        <x:v>03C2</x:v>
      </x:c>
      <x:c r="D32" s="101" t="str">
        <x:v>production</x:v>
      </x:c>
      <x:c r="E32" s="101" t="str">
        <x:v>required</x:v>
      </x:c>
      <x:c r="F32" s="101" t="str">
        <x:v>petg_general_0p4</x:v>
      </x:c>
      <x:c r="G32" s="101" t="str">
        <x:v>PETG</x:v>
      </x:c>
      <x:c r="H32" s="101" t="str">
        <x:v>03C2_PETG_tag_frames_remaining.3mf</x:v>
      </x:c>
      <x:c r="I32" s="101" t="str">
        <x:v>78.0 x 78.0 x 4.0</x:v>
      </x:c>
      <x:c r="J32" s="109" t="n">
        <x:v>22.43</x:v>
      </x:c>
      <x:c r="K32" s="101" t="str">
        <x:v>PASS</x:v>
      </x:c>
      <x:c r="L32" s="101" t="str">
        <x:v>Remaining ID1-ID5 tag frames after first-article acceptance</x:v>
      </x:c>
    </x:row>
    <x:row r="33" ht="42" customHeight="1">
      <x:c r="A33" s="101" t="str">
        <x:v>tag_frame_ID5_55mm.stl</x:v>
      </x:c>
      <x:c r="B33" s="107" t="n">
        <x:v>1</x:v>
      </x:c>
      <x:c r="C33" s="101" t="str">
        <x:v>03C2</x:v>
      </x:c>
      <x:c r="D33" s="101" t="str">
        <x:v>production</x:v>
      </x:c>
      <x:c r="E33" s="101" t="str">
        <x:v>required</x:v>
      </x:c>
      <x:c r="F33" s="101" t="str">
        <x:v>petg_general_0p4</x:v>
      </x:c>
      <x:c r="G33" s="101" t="str">
        <x:v>PETG</x:v>
      </x:c>
      <x:c r="H33" s="101" t="str">
        <x:v>03C2_PETG_tag_frames_remaining.3mf</x:v>
      </x:c>
      <x:c r="I33" s="101" t="str">
        <x:v>78.0 x 78.0 x 4.0</x:v>
      </x:c>
      <x:c r="J33" s="109" t="n">
        <x:v>22.43</x:v>
      </x:c>
      <x:c r="K33" s="101" t="str">
        <x:v>PASS</x:v>
      </x:c>
      <x:c r="L33" s="101" t="str">
        <x:v>Remaining ID1-ID5 tag frames after first-article acceptance</x:v>
      </x:c>
    </x:row>
    <x:row r="34" ht="42" customHeight="1">
      <x:c r="A34" s="101" t="str">
        <x:v>camera_plate_universal.stl</x:v>
      </x:c>
      <x:c r="B34" s="107" t="n">
        <x:v>1</x:v>
      </x:c>
      <x:c r="C34" s="101" t="str">
        <x:v>03C3</x:v>
      </x:c>
      <x:c r="D34" s="101" t="str">
        <x:v>production</x:v>
      </x:c>
      <x:c r="E34" s="101" t="str">
        <x:v>required</x:v>
      </x:c>
      <x:c r="F34" s="101" t="str">
        <x:v>petg_general_0p4</x:v>
      </x:c>
      <x:c r="G34" s="101" t="str">
        <x:v>PETG</x:v>
      </x:c>
      <x:c r="H34" s="101" t="str">
        <x:v>03C3_PETG_camera_plate.3mf</x:v>
      </x:c>
      <x:c r="I34" s="101" t="str">
        <x:v>90.0 x 55.0 x 6.0</x:v>
      </x:c>
      <x:c r="J34" s="109" t="n">
        <x:v>26.69</x:v>
      </x:c>
      <x:c r="K34" s="101" t="str">
        <x:v>PASS</x:v>
      </x:c>
      <x:c r="L34" s="101" t="str">
        <x:v>Universal camera plate isolated for measured camera hardware</x:v>
      </x:c>
    </x:row>
    <x:row r="35" ht="42" customHeight="1">
      <x:c r="A35" s="101" t="str">
        <x:v>calibration_puck.stl</x:v>
      </x:c>
      <x:c r="B35" s="107" t="n">
        <x:v>1</x:v>
      </x:c>
      <x:c r="C35" s="101" t="str">
        <x:v>03D</x:v>
      </x:c>
      <x:c r="D35" s="101" t="str">
        <x:v>production</x:v>
      </x:c>
      <x:c r="E35" s="101" t="str">
        <x:v>required</x:v>
      </x:c>
      <x:c r="F35" s="101" t="str">
        <x:v>petg_calibration_0p4</x:v>
      </x:c>
      <x:c r="G35" s="101" t="str">
        <x:v>PETG</x:v>
      </x:c>
      <x:c r="H35" s="101" t="str">
        <x:v>03D_PETG_calibration_puck.3mf</x:v>
      </x:c>
      <x:c r="I35" s="101" t="str">
        <x:v>60.0 x 60.0 x 8.0</x:v>
      </x:c>
      <x:c r="J35" s="109" t="n">
        <x:v>27.64</x:v>
      </x:c>
      <x:c r="K35" s="101" t="str">
        <x:v>PASS</x:v>
      </x:c>
      <x:c r="L35" s="101" t="str">
        <x:v>TCP calibration puck isolated at its fine process</x:v>
      </x:c>
    </x:row>
    <x:row r="36" ht="42" customHeight="1">
      <x:c r="A36" s="101" t="str">
        <x:v>compliant_tool_body.stl</x:v>
      </x:c>
      <x:c r="B36" s="107" t="n">
        <x:v>1</x:v>
      </x:c>
      <x:c r="C36" s="101" t="str">
        <x:v>04A</x:v>
      </x:c>
      <x:c r="D36" s="101" t="str">
        <x:v>route</x:v>
      </x:c>
      <x:c r="E36" s="101" t="str">
        <x:v>any_tool_route</x:v>
      </x:c>
      <x:c r="F36" s="101" t="str">
        <x:v>petg_precision_0p4</x:v>
      </x:c>
      <x:c r="G36" s="101" t="str">
        <x:v>PETG</x:v>
      </x:c>
      <x:c r="H36" s="101" t="str">
        <x:v>04A_PETG_shared_compliant_tool.3mf</x:v>
      </x:c>
      <x:c r="I36" s="101" t="str">
        <x:v>28.0 x 24.0 x 66.2</x:v>
      </x:c>
      <x:c r="J36" s="109" t="n">
        <x:v>34.51</x:v>
      </x:c>
      <x:c r="K36" s="101" t="str">
        <x:v>PASS</x:v>
      </x:c>
      <x:c r="L36" s="101" t="str">
        <x:v>Shared compliant tool body with keyed cap and one spare cap</x:v>
      </x:c>
    </x:row>
    <x:row r="37" ht="42" customHeight="1">
      <x:c r="A37" s="101" t="str">
        <x:v>compliant_tool_top_cap.stl</x:v>
      </x:c>
      <x:c r="B37" s="107" t="n">
        <x:v>2</x:v>
      </x:c>
      <x:c r="C37" s="101" t="str">
        <x:v>04A</x:v>
      </x:c>
      <x:c r="D37" s="101" t="str">
        <x:v>route</x:v>
      </x:c>
      <x:c r="E37" s="101" t="str">
        <x:v>any_tool_route</x:v>
      </x:c>
      <x:c r="F37" s="101" t="str">
        <x:v>petg_precision_0p4</x:v>
      </x:c>
      <x:c r="G37" s="101" t="str">
        <x:v>PETG</x:v>
      </x:c>
      <x:c r="H37" s="101" t="str">
        <x:v>04A_PETG_shared_compliant_tool.3mf</x:v>
      </x:c>
      <x:c r="I37" s="101" t="str">
        <x:v>28.0 x 24.0 x 5.0</x:v>
      </x:c>
      <x:c r="J37" s="109" t="n">
        <x:v>2.61</x:v>
      </x:c>
      <x:c r="K37" s="101" t="str">
        <x:v>PASS</x:v>
      </x:c>
      <x:c r="L37" s="101" t="str">
        <x:v>Shared compliant tool body with keyed cap and one spare cap</x:v>
      </x:c>
    </x:row>
    <x:row r="38" ht="42" customHeight="1">
      <x:c r="A38" s="101" t="str">
        <x:v>stylus_collar_9mm.stl</x:v>
      </x:c>
      <x:c r="B38" s="107" t="n">
        <x:v>2</x:v>
      </x:c>
      <x:c r="C38" s="101" t="str">
        <x:v>04B</x:v>
      </x:c>
      <x:c r="D38" s="101" t="str">
        <x:v>route</x:v>
      </x:c>
      <x:c r="E38" s="101" t="str">
        <x:v>phone_stylus_route</x:v>
      </x:c>
      <x:c r="F38" s="101" t="str">
        <x:v>petg_adapter_0p4</x:v>
      </x:c>
      <x:c r="G38" s="101" t="str">
        <x:v>PETG</x:v>
      </x:c>
      <x:c r="H38" s="101" t="str">
        <x:v>04B_PETG_phone_stylus_adapters.3mf</x:v>
      </x:c>
      <x:c r="I38" s="101" t="str">
        <x:v>13.6 x 13.572 x 5.5</x:v>
      </x:c>
      <x:c r="J38" s="109" t="n">
        <x:v>0.41</x:v>
      </x:c>
      <x:c r="K38" s="101" t="str">
        <x:v>PASS</x:v>
      </x:c>
      <x:c r="L38" s="101" t="str">
        <x:v>Two phone-route stylus collars for thin-wall retention qualification and one spare</x:v>
      </x:c>
    </x:row>
    <x:row r="39" ht="42" customHeight="1">
      <x:c r="A39" s="101" t="str">
        <x:v>rod_bushing_6_to_9mm.stl</x:v>
      </x:c>
      <x:c r="B39" s="107" t="n">
        <x:v>2</x:v>
      </x:c>
      <x:c r="C39" s="101" t="str">
        <x:v>04C</x:v>
      </x:c>
      <x:c r="D39" s="101" t="str">
        <x:v>route</x:v>
      </x:c>
      <x:c r="E39" s="101" t="str">
        <x:v>keyboard_rod_route</x:v>
      </x:c>
      <x:c r="F39" s="101" t="str">
        <x:v>petg_adapter_0p4</x:v>
      </x:c>
      <x:c r="G39" s="101" t="str">
        <x:v>PETG</x:v>
      </x:c>
      <x:c r="H39" s="101" t="str">
        <x:v>04C_PETG_keyboard_rod_adapters.3mf</x:v>
      </x:c>
      <x:c r="I39" s="101" t="str">
        <x:v>13.5 x 13.497 x 38.8</x:v>
      </x:c>
      <x:c r="J39" s="109" t="n">
        <x:v>1.45</x:v>
      </x:c>
      <x:c r="K39" s="101" t="str">
        <x:v>PASS</x:v>
      </x:c>
      <x:c r="L39" s="101" t="str">
        <x:v>Two keyboard-route rod bushings for retention qualification and one spare</x:v>
      </x:c>
    </x:row>
    <x:row r="40" ht="42" customHeight="1">
      <x:c r="A40" s="101" t="str">
        <x:v>phone_clamp_tip_TPU_M4.stl</x:v>
      </x:c>
      <x:c r="B40" s="107" t="n">
        <x:v>1</x:v>
      </x:c>
      <x:c r="C40" s="101" t="str">
        <x:v>05A</x:v>
      </x:c>
      <x:c r="D40" s="101" t="str">
        <x:v>first_article</x:v>
      </x:c>
      <x:c r="E40" s="101" t="str">
        <x:v>required</x:v>
      </x:c>
      <x:c r="F40" s="101" t="str">
        <x:v>tpu95a_0p4</x:v>
      </x:c>
      <x:c r="G40" s="101" t="str">
        <x:v>TPU 95A</x:v>
      </x:c>
      <x:c r="H40" s="101" t="str">
        <x:v>05A_TPU_phone_tip_first_article.3mf</x:v>
      </x:c>
      <x:c r="I40" s="101" t="str">
        <x:v>7.5 x 7.499 x 8.0</x:v>
      </x:c>
      <x:c r="J40" s="109" t="n">
        <x:v>0.24</x:v>
      </x:c>
      <x:c r="K40" s="101" t="str">
        <x:v>PASS</x:v>
      </x:c>
      <x:c r="L40" s="101" t="str">
        <x:v>One phone TPU tip for dimensional and pull-off acceptance</x:v>
      </x:c>
    </x:row>
    <x:row r="41" ht="42" customHeight="1">
      <x:c r="A41" s="101" t="str">
        <x:v>phone_clamp_tip_TPU_M4.stl</x:v>
      </x:c>
      <x:c r="B41" s="107" t="n">
        <x:v>3</x:v>
      </x:c>
      <x:c r="C41" s="101" t="str">
        <x:v>05B</x:v>
      </x:c>
      <x:c r="D41" s="101" t="str">
        <x:v>production</x:v>
      </x:c>
      <x:c r="E41" s="101" t="str">
        <x:v>required</x:v>
      </x:c>
      <x:c r="F41" s="101" t="str">
        <x:v>tpu95a_0p4</x:v>
      </x:c>
      <x:c r="G41" s="101" t="str">
        <x:v>TPU 95A</x:v>
      </x:c>
      <x:c r="H41" s="101" t="str">
        <x:v>05B_TPU_phone_tips_and_spares.3mf</x:v>
      </x:c>
      <x:c r="I41" s="101" t="str">
        <x:v>7.5 x 7.499 x 8.0</x:v>
      </x:c>
      <x:c r="J41" s="109" t="n">
        <x:v>0.24</x:v>
      </x:c>
      <x:c r="K41" s="101" t="str">
        <x:v>PASS</x:v>
      </x:c>
      <x:c r="L41" s="101" t="str">
        <x:v>Three additional phone TPU tips, yielding two installed and two total spares</x:v>
      </x:c>
    </x:row>
    <x:row r="42" ht="42" customHeight="1">
      <x:c r="A42" s="101" t="str">
        <x:v>keyboard_tip_TPU_6mm.stl</x:v>
      </x:c>
      <x:c r="B42" s="107" t="n">
        <x:v>1</x:v>
      </x:c>
      <x:c r="C42" s="101" t="str">
        <x:v>05C</x:v>
      </x:c>
      <x:c r="D42" s="101" t="str">
        <x:v>first_article</x:v>
      </x:c>
      <x:c r="E42" s="101" t="str">
        <x:v>keyboard_rod_route</x:v>
      </x:c>
      <x:c r="F42" s="101" t="str">
        <x:v>tpu95a_0p4</x:v>
      </x:c>
      <x:c r="G42" s="101" t="str">
        <x:v>TPU 95A</x:v>
      </x:c>
      <x:c r="H42" s="101" t="str">
        <x:v>05C_TPU_keyboard_tip_first_article.3mf</x:v>
      </x:c>
      <x:c r="I42" s="101" t="str">
        <x:v>12.0 x 11.998 x 14.0</x:v>
      </x:c>
      <x:c r="J42" s="109" t="n">
        <x:v>1.12</x:v>
      </x:c>
      <x:c r="K42" s="101" t="str">
        <x:v>PASS</x:v>
      </x:c>
      <x:c r="L42" s="101" t="str">
        <x:v>One keyboard TPU tip for dimensional and pull-off acceptance</x:v>
      </x:c>
    </x:row>
    <x:row r="43" ht="42" customHeight="1">
      <x:c r="A43" s="101" t="str">
        <x:v>keyboard_tip_TPU_6mm.stl</x:v>
      </x:c>
      <x:c r="B43" s="107" t="n">
        <x:v>3</x:v>
      </x:c>
      <x:c r="C43" s="101" t="str">
        <x:v>05D</x:v>
      </x:c>
      <x:c r="D43" s="101" t="str">
        <x:v>production</x:v>
      </x:c>
      <x:c r="E43" s="101" t="str">
        <x:v>keyboard_rod_route</x:v>
      </x:c>
      <x:c r="F43" s="101" t="str">
        <x:v>tpu95a_0p4</x:v>
      </x:c>
      <x:c r="G43" s="101" t="str">
        <x:v>TPU 95A</x:v>
      </x:c>
      <x:c r="H43" s="101" t="str">
        <x:v>05D_TPU_keyboard_tips_and_spares.3mf</x:v>
      </x:c>
      <x:c r="I43" s="101" t="str">
        <x:v>12.0 x 11.998 x 14.0</x:v>
      </x:c>
      <x:c r="J43" s="109" t="n">
        <x:v>1.12</x:v>
      </x:c>
      <x:c r="K43" s="101" t="str">
        <x:v>PASS</x:v>
      </x:c>
      <x:c r="L43" s="101" t="str">
        <x:v>Three additional keyboard TPU tips, yielding two installed and two total spares</x:v>
      </x:c>
    </x:row>
    <x:row r="44" ht="42" customHeight="1">
      <x:c r="A44" s="101" t="str">
        <x:v>mast_socket_fit_test.stl</x:v>
      </x:c>
      <x:c r="B44" s="107" t="n">
        <x:v>1</x:v>
      </x:c>
      <x:c r="C44" s="101" t="str">
        <x:v>06</x:v>
      </x:c>
      <x:c r="D44" s="101" t="str">
        <x:v>diagnostic</x:v>
      </x:c>
      <x:c r="E44" s="101" t="str">
        <x:v>camera_mast_optional</x:v>
      </x:c>
      <x:c r="F44" s="101" t="str">
        <x:v>asa_structural_0p4</x:v>
      </x:c>
      <x:c r="G44" s="101" t="str">
        <x:v>ASA</x:v>
      </x:c>
      <x:c r="H44" s="101" t="str">
        <x:v>06_ASA_mast_fit_tests.3mf</x:v>
      </x:c>
      <x:c r="I44" s="101" t="str">
        <x:v>110.0 x 36.0 x 24.0</x:v>
      </x:c>
      <x:c r="J44" s="109" t="n">
        <x:v>59.34</x:v>
      </x:c>
      <x:c r="K44" s="101" t="str">
        <x:v>PASS</x:v>
      </x:c>
      <x:c r="L44" s="101" t="str">
        <x:v>Same-profile 2020 socket and production-axis M5 nut/clearance/washer tests</x:v>
      </x:c>
    </x:row>
    <x:row r="45" ht="42" customHeight="1">
      <x:c r="A45" s="101" t="str">
        <x:v>m5_nut_trap_fit_gauge.stl</x:v>
      </x:c>
      <x:c r="B45" s="107" t="n">
        <x:v>1</x:v>
      </x:c>
      <x:c r="C45" s="101" t="str">
        <x:v>06</x:v>
      </x:c>
      <x:c r="D45" s="101" t="str">
        <x:v>diagnostic</x:v>
      </x:c>
      <x:c r="E45" s="101" t="str">
        <x:v>camera_mast_optional</x:v>
      </x:c>
      <x:c r="F45" s="101" t="str">
        <x:v>asa_structural_0p4</x:v>
      </x:c>
      <x:c r="G45" s="101" t="str">
        <x:v>ASA</x:v>
      </x:c>
      <x:c r="H45" s="101" t="str">
        <x:v>06_ASA_mast_fit_tests.3mf</x:v>
      </x:c>
      <x:c r="I45" s="101" t="str">
        <x:v>26.0 x 90.0 x 30.0</x:v>
      </x:c>
      <x:c r="J45" s="109" t="n">
        <x:v>65.39</x:v>
      </x:c>
      <x:c r="K45" s="101" t="str">
        <x:v>PASS</x:v>
      </x:c>
      <x:c r="L45" s="101" t="str">
        <x:v>Same-profile 2020 socket and production-axis M5 nut/clearance/washer tests</x:v>
      </x:c>
    </x:row>
    <x:row r="46" ht="42" customHeight="1">
      <x:c r="A46" s="101" t="str">
        <x:v>mast_foot_2020.stl</x:v>
      </x:c>
      <x:c r="B46" s="107" t="n">
        <x:v>1</x:v>
      </x:c>
      <x:c r="C46" s="101" t="str">
        <x:v>07A</x:v>
      </x:c>
      <x:c r="D46" s="101" t="str">
        <x:v>first_article</x:v>
      </x:c>
      <x:c r="E46" s="101" t="str">
        <x:v>camera_mast_optional</x:v>
      </x:c>
      <x:c r="F46" s="101" t="str">
        <x:v>asa_structural_0p4</x:v>
      </x:c>
      <x:c r="G46" s="101" t="str">
        <x:v>ASA</x:v>
      </x:c>
      <x:c r="H46" s="101" t="str">
        <x:v>07A_ASA_mast_foot_first_article.3mf</x:v>
      </x:c>
      <x:c r="I46" s="101" t="str">
        <x:v>92.0 x 92.0 x 74.0</x:v>
      </x:c>
      <x:c r="J46" s="109" t="n">
        <x:v>215.5</x:v>
      </x:c>
      <x:c r="K46" s="101" t="str">
        <x:v>PASS</x:v>
      </x:c>
      <x:c r="L46" s="101" t="str">
        <x:v>First corrected mast foot with rear-lug clamp bolts</x:v>
      </x:c>
    </x:row>
    <x:row r="47" ht="42" customHeight="1">
      <x:c r="A47" s="101" t="str">
        <x:v>mast_foot_2020.stl</x:v>
      </x:c>
      <x:c r="B47" s="107" t="n">
        <x:v>1</x:v>
      </x:c>
      <x:c r="C47" s="101" t="str">
        <x:v>07B</x:v>
      </x:c>
      <x:c r="D47" s="101" t="str">
        <x:v>optional</x:v>
      </x:c>
      <x:c r="E47" s="101" t="str">
        <x:v>camera_mast_optional</x:v>
      </x:c>
      <x:c r="F47" s="101" t="str">
        <x:v>asa_structural_0p4</x:v>
      </x:c>
      <x:c r="G47" s="101" t="str">
        <x:v>ASA</x:v>
      </x:c>
      <x:c r="H47" s="101" t="str">
        <x:v>07B_ASA_mast_foot_second.3mf</x:v>
      </x:c>
      <x:c r="I47" s="101" t="str">
        <x:v>92.0 x 92.0 x 74.0</x:v>
      </x:c>
      <x:c r="J47" s="109" t="n">
        <x:v>215.5</x:v>
      </x:c>
      <x:c r="K47" s="101" t="str">
        <x:v>PASS</x:v>
      </x:c>
      <x:c r="L47" s="101" t="str">
        <x:v>Second camera mast foot after first-article acceptance</x:v>
      </x:c>
    </x:row>
  </x:sheetData>
  <x:mergeCells>
    <x:mergeCell ref="A1:L1"/>
  </x:mergeCells>
  <x:conditionalFormatting sqref="K4:K47">
    <x:cfRule type="containsText" dxfId="24" priority="1" operator="containsText" text="PASS"/>
    <x:cfRule type="containsText" dxfId="25" priority="2" operator="containsText" text="READY"/>
    <x:cfRule type="containsText" dxfId="26" priority="3" operator="containsText" text="WAITING"/>
    <x:cfRule type="containsText" dxfId="27" priority="4" operator="containsText" text="NOT_TESTED"/>
    <x:cfRule type="containsText" dxfId="28" priority="5" operator="containsText" text="FAIL"/>
    <x:cfRule type="containsText" dxfId="29" priority="6" operator="containsText" text="NOT_SELECTED"/>
  </x:conditionalFormatting>
  <x:pageMargins left="0.7" right="0.7" top="0.75" bottom="0.75" header="0.3" footer="0.3"/>
  <x:tableParts count="1">
    <x:tablePart xmlns:r="http://schemas.openxmlformats.org/officeDocument/2006/relationships" r:id="R17b4fc6bb7f240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0" hidden="0" customWidth="1"/>
    <x:col min="4" max="4" width="10" hidden="0" customWidth="1"/>
    <x:col min="5" max="5" width="9" hidden="0" customWidth="1"/>
    <x:col min="6" max="6" width="9" hidden="0" customWidth="1"/>
    <x:col min="7" max="7" width="9" hidden="0" customWidth="1"/>
    <x:col min="8" max="8" width="10" hidden="0" customWidth="1"/>
    <x:col min="9" max="9" width="14" hidden="0" customWidth="1"/>
    <x:col min="10" max="10" width="36" hidden="0" customWidth="1"/>
    <x:col min="11" max="11" width="42" hidden="0" customWidth="1"/>
    <x:col min="12" max="12" width="52" hidden="0" customWidth="1"/>
    <x:col min="13" max="13" width="60" hidden="0" customWidth="1"/>
  </x:cols>
  <x:sheetData>
    <x:row r="1" ht="30" customHeight="1">
      <x:c r="A1" s="86" t="str">
        <x:v>Print Process Profiles - temperatures remain filament-specific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</x:row>
    <x:row r="3" ht="30" customHeight="1">
      <x:c r="A3" s="93" t="str">
        <x:v>Profile</x:v>
      </x:c>
      <x:c r="B3" s="94" t="str">
        <x:v>Material</x:v>
      </x:c>
      <x:c r="C3" s="94" t="str">
        <x:v>Nozzle</x:v>
      </x:c>
      <x:c r="D3" s="94" t="str">
        <x:v>Layer</x:v>
      </x:c>
      <x:c r="E3" s="94" t="str">
        <x:v>Walls</x:v>
      </x:c>
      <x:c r="F3" s="94" t="str">
        <x:v>Top</x:v>
      </x:c>
      <x:c r="G3" s="94" t="str">
        <x:v>Bottom</x:v>
      </x:c>
      <x:c r="H3" s="94" t="str">
        <x:v>Infill</x:v>
      </x:c>
      <x:c r="I3" s="94" t="str">
        <x:v>Pattern</x:v>
      </x:c>
      <x:c r="J3" s="94" t="str">
        <x:v>Supports</x:v>
      </x:c>
      <x:c r="K3" s="94" t="str">
        <x:v>Purpose</x:v>
      </x:c>
      <x:c r="L3" s="94" t="str">
        <x:v>Bed adhesion</x:v>
      </x:c>
      <x:c r="M3" s="95" t="str">
        <x:v>Dimensional controls</x:v>
      </x:c>
    </x:row>
    <x:row r="4" ht="58" customHeight="1">
      <x:c r="A4" s="100" t="str">
        <x:v>petg_general_0p4</x:v>
      </x:c>
      <x:c r="B4" s="100" t="str">
        <x:v>PETG</x:v>
      </x:c>
      <x:c r="C4" s="108" t="n">
        <x:v>0.4</x:v>
      </x:c>
      <x:c r="D4" s="108" t="n">
        <x:v>0.2</x:v>
      </x:c>
      <x:c r="E4" s="106" t="n">
        <x:v>4</x:v>
      </x:c>
      <x:c r="F4" s="106" t="n">
        <x:v>5</x:v>
      </x:c>
      <x:c r="G4" s="106" t="n">
        <x:v>5</x:v>
      </x:c>
      <x:c r="H4" s="110" t="n">
        <x:v>0.25</x:v>
      </x:c>
      <x:c r="I4" s="100" t="str">
        <x:v>gyroid</x:v>
      </x:c>
      <x:c r="J4" s="100" t="str">
        <x:v>off unless a job override says otherwise</x:v>
      </x:c>
      <x:c r="K4" s="100" t="str">
        <x:v>Trays, cradle, clamps, frames, puck, and camera plate</x:v>
      </x:c>
      <x:c r="L4" s="100" t="str">
        <x:v>Clean textured PEI; use a 5 mm brim only after observed corner lift</x:v>
      </x:c>
      <x:c r="M4" s="100" t="str">
        <x:v>Use calibrated elephant-foot and XY-hole compensation from the diagnostic coupons</x:v>
      </x:c>
    </x:row>
    <x:row r="5" ht="58" customHeight="1">
      <x:c r="A5" s="101" t="str">
        <x:v>petg_tray_structural_0p4</x:v>
      </x:c>
      <x:c r="B5" s="101" t="str">
        <x:v>PETG</x:v>
      </x:c>
      <x:c r="C5" s="109" t="n">
        <x:v>0.4</x:v>
      </x:c>
      <x:c r="D5" s="109" t="n">
        <x:v>0.2</x:v>
      </x:c>
      <x:c r="E5" s="107" t="n">
        <x:v>5</x:v>
      </x:c>
      <x:c r="F5" s="107" t="n">
        <x:v>6</x:v>
      </x:c>
      <x:c r="G5" s="107" t="n">
        <x:v>6</x:v>
      </x:c>
      <x:c r="H5" s="111" t="n">
        <x:v>0.35</x:v>
      </x:c>
      <x:c r="I5" s="101" t="str">
        <x:v>gyroid</x:v>
      </x:c>
      <x:c r="J5" s="101" t="str">
        <x:v>off</x:v>
      </x:c>
      <x:c r="K5" s="101" t="str">
        <x:v>Keyboard tray halves with reinforced seam and support rails</x:v>
      </x:c>
      <x:c r="L5" s="101" t="str">
        <x:v>Clean textured PEI; 6 mm brim recommended for the two large tray halves</x:v>
      </x:c>
      <x:c r="M5" s="101" t="str">
        <x:v>Keep slicer seam away from mounting slots, male keys, female pocket mouths, and keyboard datums</x:v>
      </x:c>
    </x:row>
    <x:row r="6" ht="58" customHeight="1">
      <x:c r="A6" s="101" t="str">
        <x:v>petg_cradle_0p4</x:v>
      </x:c>
      <x:c r="B6" s="101" t="str">
        <x:v>PETG</x:v>
      </x:c>
      <x:c r="C6" s="109" t="n">
        <x:v>0.4</x:v>
      </x:c>
      <x:c r="D6" s="109" t="n">
        <x:v>0.2</x:v>
      </x:c>
      <x:c r="E6" s="107" t="n">
        <x:v>5</x:v>
      </x:c>
      <x:c r="F6" s="107" t="n">
        <x:v>5</x:v>
      </x:c>
      <x:c r="G6" s="107" t="n">
        <x:v>5</x:v>
      </x:c>
      <x:c r="H6" s="111" t="n">
        <x:v>0.3</x:v>
      </x:c>
      <x:c r="I6" s="101" t="str">
        <x:v>gyroid</x:v>
      </x:c>
      <x:c r="J6" s="101" t="str">
        <x:v>build-plate only under horizontal clamp bores if needed</x:v>
      </x:c>
      <x:c r="K6" s="101" t="str">
        <x:v>Phone cradle</x:v>
      </x:c>
      <x:c r="L6" s="101" t="str">
        <x:v>5 mm brim recommended around the asymmetric cradle and clamp towers</x:v>
      </x:c>
      <x:c r="M6" s="101" t="str">
        <x:v>Use the horizontal M4 insert coupon; ream the 4.6 mm passages by hand after printing</x:v>
      </x:c>
    </x:row>
    <x:row r="7" ht="58" customHeight="1">
      <x:c r="A7" s="101" t="str">
        <x:v>petg_precision_0p4</x:v>
      </x:c>
      <x:c r="B7" s="101" t="str">
        <x:v>PETG</x:v>
      </x:c>
      <x:c r="C7" s="109" t="n">
        <x:v>0.4</x:v>
      </x:c>
      <x:c r="D7" s="109" t="n">
        <x:v>0.16</x:v>
      </x:c>
      <x:c r="E7" s="107" t="n">
        <x:v>5</x:v>
      </x:c>
      <x:c r="F7" s="107" t="n">
        <x:v>6</x:v>
      </x:c>
      <x:c r="G7" s="107" t="n">
        <x:v>6</x:v>
      </x:c>
      <x:c r="H7" s="111" t="n">
        <x:v>0.4</x:v>
      </x:c>
      <x:c r="I7" s="101" t="str">
        <x:v>gyroid</x:v>
      </x:c>
      <x:c r="J7" s="101" t="str">
        <x:v>off</x:v>
      </x:c>
      <x:c r="K7" s="101" t="str">
        <x:v>Compliant tool body and cap</x:v>
      </x:c>
      <x:c r="L7" s="101" t="str">
        <x:v>5 mm brim around the upright tool body; remove carefully from the cap</x:v>
      </x:c>
      <x:c r="M7" s="101" t="str">
        <x:v>Keep the slicer seam off the gripper flats and sliding guide bore</x:v>
      </x:c>
    </x:row>
    <x:row r="8" ht="58" customHeight="1">
      <x:c r="A8" s="101" t="str">
        <x:v>petg_calibration_0p4</x:v>
      </x:c>
      <x:c r="B8" s="101" t="str">
        <x:v>PETG</x:v>
      </x:c>
      <x:c r="C8" s="109" t="n">
        <x:v>0.4</x:v>
      </x:c>
      <x:c r="D8" s="109" t="n">
        <x:v>0.16</x:v>
      </x:c>
      <x:c r="E8" s="107" t="n">
        <x:v>4</x:v>
      </x:c>
      <x:c r="F8" s="107" t="n">
        <x:v>6</x:v>
      </x:c>
      <x:c r="G8" s="107" t="n">
        <x:v>6</x:v>
      </x:c>
      <x:c r="H8" s="111" t="n">
        <x:v>0.4</x:v>
      </x:c>
      <x:c r="I8" s="101" t="str">
        <x:v>gyroid</x:v>
      </x:c>
      <x:c r="J8" s="101" t="str">
        <x:v>off</x:v>
      </x:c>
      <x:c r="K8" s="101" t="str">
        <x:v>TCP calibration puck</x:v>
      </x:c>
      <x:c r="L8" s="101" t="str">
        <x:v>Skirt normally sufficient on clean textured PEI</x:v>
      </x:c>
      <x:c r="M8" s="101" t="str">
        <x:v>Do not enable ironing over the crosshair or central divot</x:v>
      </x:c>
    </x:row>
    <x:row r="9" ht="58" customHeight="1">
      <x:c r="A9" s="101" t="str">
        <x:v>petg_adapter_0p4</x:v>
      </x:c>
      <x:c r="B9" s="101" t="str">
        <x:v>PETG</x:v>
      </x:c>
      <x:c r="C9" s="109" t="n">
        <x:v>0.4</x:v>
      </x:c>
      <x:c r="D9" s="109" t="n">
        <x:v>0.12</x:v>
      </x:c>
      <x:c r="E9" s="107" t="n">
        <x:v>4</x:v>
      </x:c>
      <x:c r="F9" s="107" t="n">
        <x:v>5</x:v>
      </x:c>
      <x:c r="G9" s="107" t="n">
        <x:v>5</x:v>
      </x:c>
      <x:c r="H9" s="111" t="n">
        <x:v>1</x:v>
      </x:c>
      <x:c r="I9" s="101" t="str">
        <x:v>rectilinear</x:v>
      </x:c>
      <x:c r="J9" s="101" t="str">
        <x:v>off</x:v>
      </x:c>
      <x:c r="K9" s="101" t="str">
        <x:v>Fit-sensitive stylus collar and rod bushing</x:v>
      </x:c>
      <x:c r="L9" s="101" t="str">
        <x:v>Use an 8 mm brim for the upright rod bushing; skirt is sufficient for the short collar</x:v>
      </x:c>
      <x:c r="M9" s="101" t="str">
        <x:v>Calibrate elephant-foot compensation so split bores remain open at the first layer</x:v>
      </x:c>
    </x:row>
    <x:row r="10" ht="58" customHeight="1">
      <x:c r="A10" s="101" t="str">
        <x:v>tpu95a_0p4</x:v>
      </x:c>
      <x:c r="B10" s="101" t="str">
        <x:v>TPU 95A</x:v>
      </x:c>
      <x:c r="C10" s="109" t="n">
        <x:v>0.4</x:v>
      </x:c>
      <x:c r="D10" s="109" t="n">
        <x:v>0.16</x:v>
      </x:c>
      <x:c r="E10" s="107" t="n">
        <x:v>3</x:v>
      </x:c>
      <x:c r="F10" s="107" t="n">
        <x:v>5</x:v>
      </x:c>
      <x:c r="G10" s="107" t="n">
        <x:v>5</x:v>
      </x:c>
      <x:c r="H10" s="111" t="n">
        <x:v>1</x:v>
      </x:c>
      <x:c r="I10" s="101" t="str">
        <x:v>rectilinear</x:v>
      </x:c>
      <x:c r="J10" s="101" t="str">
        <x:v>off</x:v>
      </x:c>
      <x:c r="K10" s="101" t="str">
        <x:v>Phone and keyboard contact tips</x:v>
      </x:c>
      <x:c r="L10" s="101" t="str">
        <x:v>Clean PEI with no glue unless required by the exact TPU; use a 3 mm brim if a tip rocks</x:v>
      </x:c>
      <x:c r="M10" s="101" t="str">
        <x:v>Dry filament and keep first-layer flow calibrated so the flared bore entries remain open</x:v>
      </x:c>
    </x:row>
    <x:row r="11" ht="58" customHeight="1">
      <x:c r="A11" s="101" t="str">
        <x:v>asa_structural_0p4</x:v>
      </x:c>
      <x:c r="B11" s="101" t="str">
        <x:v>ASA</x:v>
      </x:c>
      <x:c r="C11" s="109" t="n">
        <x:v>0.4</x:v>
      </x:c>
      <x:c r="D11" s="109" t="n">
        <x:v>0.24</x:v>
      </x:c>
      <x:c r="E11" s="107" t="n">
        <x:v>6</x:v>
      </x:c>
      <x:c r="F11" s="107" t="n">
        <x:v>6</x:v>
      </x:c>
      <x:c r="G11" s="107" t="n">
        <x:v>6</x:v>
      </x:c>
      <x:c r="H11" s="111" t="n">
        <x:v>0.45</x:v>
      </x:c>
      <x:c r="I11" s="101" t="str">
        <x:v>gyroid</x:v>
      </x:c>
      <x:c r="J11" s="101" t="str">
        <x:v>build-plate only under transverse bores if needed</x:v>
      </x:c>
      <x:c r="K11" s="101" t="str">
        <x:v>Optional camera mast feet; calibrate shrink before full print</x:v>
      </x:c>
      <x:c r="L11" s="101" t="str">
        <x:v>10 mm brim, enclosed printer, stable chamber, and no drafts</x:v>
      </x:c>
      <x:c r="M11" s="101" t="str">
        <x:v>Use the ASA socket and nut coupons from the same spool before the first full foot</x:v>
      </x:c>
    </x:row>
    <x:row r="12" ht="58" customHeight="1">
      <x:c r="A12" s="101" t="str">
        <x:v>structural_fast_0p6_optional</x:v>
      </x:c>
      <x:c r="B12" s="101" t="str">
        <x:v>PETG or ASA</x:v>
      </x:c>
      <x:c r="C12" s="109" t="n">
        <x:v>0.6</x:v>
      </x:c>
      <x:c r="D12" s="109" t="n">
        <x:v>0.3</x:v>
      </x:c>
      <x:c r="E12" s="107" t="n">
        <x:v>4</x:v>
      </x:c>
      <x:c r="F12" s="107" t="n">
        <x:v>5</x:v>
      </x:c>
      <x:c r="G12" s="107" t="n">
        <x:v>5</x:v>
      </x:c>
      <x:c r="H12" s="111" t="n">
        <x:v>0.25</x:v>
      </x:c>
      <x:c r="I12" s="101" t="str">
        <x:v>gyroid</x:v>
      </x:c>
      <x:c r="J12" s="101" t="str">
        <x:v>off unless validated for the selected structural part</x:v>
      </x:c>
      <x:c r="K12" s="101" t="str">
        <x:v>Optional later production profile for trays and mast feet; requires fresh fit validation</x:v>
      </x:c>
      <x:c r="L12" s="101" t="str">
        <x:v>Requalify before use</x:v>
      </x:c>
      <x:c r="M12" s="101" t="str">
        <x:v>Fresh physical fit validation required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b3e6556c327348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30" hidden="0" customWidth="1"/>
    <x:col min="4" max="4" width="22" hidden="0" customWidth="1"/>
    <x:col min="5" max="5" width="58" hidden="0" customWidth="1"/>
    <x:col min="6" max="6" width="62" hidden="0" customWidth="1"/>
    <x:col min="7" max="7" width="58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30" customHeight="1">
      <x:c r="A1" s="86" t="str">
        <x:v>Job Kits - count, inspect, sign, label, and store as a controlled set</x:v>
      </x:c>
      <x:c r="B1" s="86"/>
      <x:c r="C1" s="86"/>
      <x:c r="D1" s="86"/>
      <x:c r="E1" s="86"/>
      <x:c r="F1" s="86"/>
      <x:c r="G1" s="86"/>
      <x:c r="H1" s="86"/>
      <x:c r="I1" s="86"/>
      <x:c r="J1" s="86"/>
    </x:row>
    <x:row r="3" ht="30" customHeight="1">
      <x:c r="A3" s="93" t="str">
        <x:v>Job</x:v>
      </x:c>
      <x:c r="B3" s="94" t="str">
        <x:v>Kit</x:v>
      </x:c>
      <x:c r="C3" s="94" t="str">
        <x:v>Module</x:v>
      </x:c>
      <x:c r="D3" s="94" t="str">
        <x:v>Route</x:v>
      </x:c>
      <x:c r="E3" s="94" t="str">
        <x:v>Printed contents</x:v>
      </x:c>
      <x:c r="F3" s="94" t="str">
        <x:v>Hardware / consumables</x:v>
      </x:c>
      <x:c r="G3" s="94" t="str">
        <x:v>Acceptance signoff</x:v>
      </x:c>
      <x:c r="H3" s="94" t="str">
        <x:v>Kit status</x:v>
      </x:c>
      <x:c r="I3" s="94" t="str">
        <x:v>QA status</x:v>
      </x:c>
      <x:c r="J3" s="95" t="str">
        <x:v>Storage label</x:v>
      </x:c>
    </x:row>
    <x:row r="4" ht="68" customHeight="1">
      <x:c r="A4" s="100" t="str">
        <x:v>00A</x:v>
      </x:c>
      <x:c r="B4" s="100" t="str">
        <x:v>KIT-CAL</x:v>
      </x:c>
      <x:c r="C4" s="100" t="str">
        <x:v>Calibration and qualification</x:v>
      </x:c>
      <x:c r="D4" s="100" t="str">
        <x:v>required</x:v>
      </x:c>
      <x:c r="E4" s="100" t="str">
        <x:v>1 keyboard corner coupon; 1 male seam coupon; 1 female seam coupon; 1 tray-profile clearance gauge; 1 M4 washer gauge</x:v>
      </x:c>
      <x:c r="F4" s="100" t="str">
        <x:v>Actual keyboard; selected board screw and M4 washer; calipers</x:v>
      </x:c>
      <x:c r="G4" s="100" t="str">
        <x:v>Record keyboard_corner_coupon_pass; keyboard_seam_coupon_pass; tray_clearance_holes_coupon_pass including m4_washer_od_mm</x:v>
      </x:c>
      <x:c r="H4" s="100" t="str">
        <x:v>NOT_KITTED</x:v>
      </x:c>
      <x:c r="I4" s="100" t="str">
        <x:v>NOT_INSPECTED</x:v>
      </x:c>
      <x:c r="J4" s="100" t="str">
        <x:v>RC02-PRO-R1 KIT-CAL</x:v>
      </x:c>
    </x:row>
    <x:row r="5" ht="68" customHeight="1">
      <x:c r="A5" s="101" t="str">
        <x:v>00B</x:v>
      </x:c>
      <x:c r="B5" s="101" t="str">
        <x:v>KIT-CAL</x:v>
      </x:c>
      <x:c r="C5" s="101" t="str">
        <x:v>Calibration and qualification</x:v>
      </x:c>
      <x:c r="D5" s="101" t="str">
        <x:v>required</x:v>
      </x:c>
      <x:c r="E5" s="101" t="str">
        <x:v>1 phone width coupon; 1 horizontal M4 insert gauge; 1 cable-saddle gauge; 1 M4 washer gauge</x:v>
      </x:c>
      <x:c r="F5" s="101" t="str">
        <x:v>Actual phone in final case state; M4 insert clamp screw and washer samples; candidate cable ties; calipers</x:v>
      </x:c>
      <x:c r="G5" s="101" t="str">
        <x:v>Record phone_width_coupon_pass; m4_horizontal_insert_coupon_pass; cable_tie_saddle_coupon_pass; cradle_m4_washer_coupon_pass</x:v>
      </x:c>
      <x:c r="H5" s="101" t="str">
        <x:v>NOT_KITTED</x:v>
      </x:c>
      <x:c r="I5" s="101" t="str">
        <x:v>NOT_INSPECTED</x:v>
      </x:c>
      <x:c r="J5" s="101" t="str">
        <x:v>RC02-PRO-R1 KIT-CAL</x:v>
      </x:c>
    </x:row>
    <x:row r="6" ht="68" customHeight="1">
      <x:c r="A6" s="101" t="str">
        <x:v>00C</x:v>
      </x:c>
      <x:c r="B6" s="101" t="str">
        <x:v>KIT-CAL</x:v>
      </x:c>
      <x:c r="C6" s="101" t="str">
        <x:v>Calibration and qualification</x:v>
      </x:c>
      <x:c r="D6" s="101" t="str">
        <x:v>required</x:v>
      </x:c>
      <x:c r="E6" s="101" t="str">
        <x:v>1 RoArm grip coupon; 1 stepped spring gauge; 1 M3 insert gauge; 1 M3 head gauge</x:v>
      </x:c>
      <x:c r="F6" s="101" t="str">
        <x:v>RoArm gripper; selected spring; M3 inserts and cap screws; calipers; optional force gauge</x:v>
      </x:c>
      <x:c r="G6" s="101" t="str">
        <x:v>Record gripper_coupon_pass; spring_fit_coupon_pass; m3_insert_coupon_pass; precision_m3_head_coupon_pass</x:v>
      </x:c>
      <x:c r="H6" s="101" t="str">
        <x:v>NOT_KITTED</x:v>
      </x:c>
      <x:c r="I6" s="101" t="str">
        <x:v>NOT_INSPECTED</x:v>
      </x:c>
      <x:c r="J6" s="101" t="str">
        <x:v>RC02-PRO-R1 KIT-CAL</x:v>
      </x:c>
    </x:row>
    <x:row r="7" ht="68" customHeight="1">
      <x:c r="A7" s="101" t="str">
        <x:v>00D</x:v>
      </x:c>
      <x:c r="B7" s="101" t="str">
        <x:v>KIT-CAL</x:v>
      </x:c>
      <x:c r="C7" s="101" t="str">
        <x:v>Calibration and qualification</x:v>
      </x:c>
      <x:c r="D7" s="101" t="str">
        <x:v>required</x:v>
      </x:c>
      <x:c r="E7" s="101" t="str">
        <x:v>1 stylus diameter gauge; 1 horizontal thread-pilot gauge</x:v>
      </x:c>
      <x:c r="F7" s="101" t="str">
        <x:v>Actual stylus; candidate M2 and M3 grub screws; M2 tap and pin vise; calipers</x:v>
      </x:c>
      <x:c r="G7" s="101" t="str">
        <x:v>Record stylus_gauge_coupon_pass and document the selected adapter-retention pilot or adhesive method</x:v>
      </x:c>
      <x:c r="H7" s="101" t="str">
        <x:v>NOT_KITTED</x:v>
      </x:c>
      <x:c r="I7" s="101" t="str">
        <x:v>NOT_INSPECTED</x:v>
      </x:c>
      <x:c r="J7" s="101" t="str">
        <x:v>RC02-PRO-R1 KIT-CAL</x:v>
      </x:c>
    </x:row>
    <x:row r="8" ht="68" customHeight="1">
      <x:c r="A8" s="101" t="str">
        <x:v>00E</x:v>
      </x:c>
      <x:c r="B8" s="101" t="str">
        <x:v>KIT-CAL</x:v>
      </x:c>
      <x:c r="C8" s="101" t="str">
        <x:v>Calibration and qualification</x:v>
      </x:c>
      <x:c r="D8" s="101" t="str">
        <x:v>required</x:v>
      </x:c>
      <x:c r="E8" s="101" t="str">
        <x:v>1 general hardware gauge; 1 head washer and camera-hex gauge; 1 rigid TPU-retention gauge</x:v>
      </x:c>
      <x:c r="F8" s="101" t="str">
        <x:v>Actual #8 M3 M4 M5 and 1/4-20 hardware; M4 and M5 washers; retain gauge for TPU first articles</x:v>
      </x:c>
      <x:c r="G8" s="101" t="str">
        <x:v>Record general_clearance_holes_coupon_pass and setup_hardware_coupon_pass; retain labeled hardware samples</x:v>
      </x:c>
      <x:c r="H8" s="101" t="str">
        <x:v>NOT_KITTED</x:v>
      </x:c>
      <x:c r="I8" s="101" t="str">
        <x:v>NOT_INSPECTED</x:v>
      </x:c>
      <x:c r="J8" s="101" t="str">
        <x:v>RC02-PRO-R1 KIT-CAL</x:v>
      </x:c>
    </x:row>
    <x:row r="9" ht="68" customHeight="1">
      <x:c r="A9" s="101" t="str">
        <x:v>00F</x:v>
      </x:c>
      <x:c r="B9" s="101" t="str">
        <x:v>KIT-CAL</x:v>
      </x:c>
      <x:c r="C9" s="101" t="str">
        <x:v>Calibration and qualification</x:v>
      </x:c>
      <x:c r="D9" s="101" t="str">
        <x:v>required</x:v>
      </x:c>
      <x:c r="E9" s="101" t="str">
        <x:v>1 calibration-profile clearance gauge; 1 M4 washer gauge</x:v>
      </x:c>
      <x:c r="F9" s="101" t="str">
        <x:v>Actual M4 fastener and washer sample; calipers</x:v>
      </x:c>
      <x:c r="G9" s="101" t="str">
        <x:v>Verify M4 clearance and washer seating with the exact petg_calibration_0p4 profile; record calibration_clearance_holes_coupon_pass including m4_washer_od_mm</x:v>
      </x:c>
      <x:c r="H9" s="101" t="str">
        <x:v>NOT_KITTED</x:v>
      </x:c>
      <x:c r="I9" s="101" t="str">
        <x:v>NOT_INSPECTED</x:v>
      </x:c>
      <x:c r="J9" s="101" t="str">
        <x:v>RC02-PRO-R1 KIT-CAL</x:v>
      </x:c>
    </x:row>
    <x:row r="10" ht="68" customHeight="1">
      <x:c r="A10" s="101" t="str">
        <x:v>01</x:v>
      </x:c>
      <x:c r="B10" s="101" t="str">
        <x:v>KIT-KB</x:v>
      </x:c>
      <x:c r="C10" s="101" t="str">
        <x:v>Keyboard fixture</x:v>
      </x:c>
      <x:c r="D10" s="101" t="str">
        <x:v>required</x:v>
      </x:c>
      <x:c r="E10" s="101" t="str">
        <x:v>1 left keyboard tray</x:v>
      </x:c>
      <x:c r="F10" s="101" t="str">
        <x:v>4 #8 x 5/8 in screws; 4 M4 washers; 2 tray anti-slip pads 16 x 10 x 0.5-0.6 mm</x:v>
      </x:c>
      <x:c r="G10" s="101" t="str">
        <x:v>Verify identity and revision; four closed slots and washer tracks; flat support rails; seam keys; record keyboard_left_first_article_pass</x:v>
      </x:c>
      <x:c r="H10" s="101" t="str">
        <x:v>NOT_KITTED</x:v>
      </x:c>
      <x:c r="I10" s="101" t="str">
        <x:v>NOT_INSPECTED</x:v>
      </x:c>
      <x:c r="J10" s="101" t="str">
        <x:v>RC02-PRO-R1 KIT-KB</x:v>
      </x:c>
    </x:row>
    <x:row r="11" ht="68" customHeight="1">
      <x:c r="A11" s="101" t="str">
        <x:v>02</x:v>
      </x:c>
      <x:c r="B11" s="101" t="str">
        <x:v>KIT-KB</x:v>
      </x:c>
      <x:c r="C11" s="101" t="str">
        <x:v>Keyboard fixture</x:v>
      </x:c>
      <x:c r="D11" s="101" t="str">
        <x:v>required</x:v>
      </x:c>
      <x:c r="E11" s="101" t="str">
        <x:v>1 right keyboard tray</x:v>
      </x:c>
      <x:c r="F11" s="101" t="str">
        <x:v>4 #8 x 5/8 in screws; 4 M4 washers; 2 tray anti-slip pads 16 x 10 x 0.5-0.6 mm</x:v>
      </x:c>
      <x:c r="G11" s="101" t="str">
        <x:v>Mate to job 01; verify flush seam total envelope and no rocking; complete keyboard-pair acceptance</x:v>
      </x:c>
      <x:c r="H11" s="101" t="str">
        <x:v>NOT_KITTED</x:v>
      </x:c>
      <x:c r="I11" s="101" t="str">
        <x:v>NOT_INSPECTED</x:v>
      </x:c>
      <x:c r="J11" s="101" t="str">
        <x:v>RC02-PRO-R1 KIT-KB</x:v>
      </x:c>
    </x:row>
    <x:row r="12" ht="68" customHeight="1">
      <x:c r="A12" s="101" t="str">
        <x:v>03B</x:v>
      </x:c>
      <x:c r="B12" s="101" t="str">
        <x:v>KIT-KB</x:v>
      </x:c>
      <x:c r="C12" s="101" t="str">
        <x:v>Keyboard fixture</x:v>
      </x:c>
      <x:c r="D12" s="101" t="str">
        <x:v>required</x:v>
      </x:c>
      <x:c r="E12" s="101" t="str">
        <x:v>2 keyboard rear clamps</x:v>
      </x:c>
      <x:c r="F12" s="101" t="str">
        <x:v>2 #8 x 5/8 in screws; 2 M4 washers; 2 clamp face pads 42 x 10 x 0.8-1.0 mm</x:v>
      </x:c>
      <x:c r="G12" s="101" t="str">
        <x:v>Verify both bases flat and gussets intact; install pads; complete ten keyboard remove-and-reinstall cycles</x:v>
      </x:c>
      <x:c r="H12" s="101" t="str">
        <x:v>NOT_KITTED</x:v>
      </x:c>
      <x:c r="I12" s="101" t="str">
        <x:v>NOT_INSPECTED</x:v>
      </x:c>
      <x:c r="J12" s="101" t="str">
        <x:v>RC02-PRO-R1 KIT-KB</x:v>
      </x:c>
    </x:row>
    <x:row r="13" ht="68" customHeight="1">
      <x:c r="A13" s="101" t="str">
        <x:v>03A</x:v>
      </x:c>
      <x:c r="B13" s="101" t="str">
        <x:v>KIT-PHONE</x:v>
      </x:c>
      <x:c r="C13" s="101" t="str">
        <x:v>Phone fixture</x:v>
      </x:c>
      <x:c r="D13" s="101" t="str">
        <x:v>required</x:v>
      </x:c>
      <x:c r="E13" s="101" t="str">
        <x:v>1 phone cradle</x:v>
      </x:c>
      <x:c r="F13" s="101" t="str">
        <x:v>4 #8 x 5/8 in screws; 4 M4 washers; 2 M4 inserts; 2 M4 x 25 mm hand screws; 1 accepted cable tie; 1 optional board cable anchor</x:v>
      </x:c>
      <x:c r="G13" s="101" t="str">
        <x:v>Verify base and rails flat; install inserts square; confirm buttons camera USB and cable route; complete ten phone cycles</x:v>
      </x:c>
      <x:c r="H13" s="101" t="str">
        <x:v>NOT_KITTED</x:v>
      </x:c>
      <x:c r="I13" s="101" t="str">
        <x:v>NOT_INSPECTED</x:v>
      </x:c>
      <x:c r="J13" s="101" t="str">
        <x:v>RC02-PRO-R1 KIT-PHONE</x:v>
      </x:c>
    </x:row>
    <x:row r="14" ht="68" customHeight="1">
      <x:c r="A14" s="101" t="str">
        <x:v>05A</x:v>
      </x:c>
      <x:c r="B14" s="101" t="str">
        <x:v>KIT-PHONE</x:v>
      </x:c>
      <x:c r="C14" s="101" t="str">
        <x:v>Phone fixture</x:v>
      </x:c>
      <x:c r="D14" s="101" t="str">
        <x:v>required</x:v>
      </x:c>
      <x:c r="E14" s="101" t="str">
        <x:v>1 phone TPU clamp tip</x:v>
      </x:c>
      <x:c r="F14" s="101" t="str">
        <x:v>Actual M4 clamp screw and retained rigid M4 peg; optional force gauge</x:v>
      </x:c>
      <x:c r="G14" s="101" t="str">
        <x:v>Inspect bore and witness band; perform defined pull-off test; record phone_tpu_retention_coupon_pass</x:v>
      </x:c>
      <x:c r="H14" s="101" t="str">
        <x:v>NOT_KITTED</x:v>
      </x:c>
      <x:c r="I14" s="101" t="str">
        <x:v>NOT_INSPECTED</x:v>
      </x:c>
      <x:c r="J14" s="101" t="str">
        <x:v>RC02-PRO-R1 KIT-PHONE</x:v>
      </x:c>
    </x:row>
    <x:row r="15" ht="68" customHeight="1">
      <x:c r="A15" s="101" t="str">
        <x:v>05B</x:v>
      </x:c>
      <x:c r="B15" s="101" t="str">
        <x:v>KIT-PHONE</x:v>
      </x:c>
      <x:c r="C15" s="101" t="str">
        <x:v>Phone fixture</x:v>
      </x:c>
      <x:c r="D15" s="101" t="str">
        <x:v>required</x:v>
      </x:c>
      <x:c r="E15" s="101" t="str">
        <x:v>3 additional phone TPU clamp tips</x:v>
      </x:c>
      <x:c r="F15" s="101" t="str">
        <x:v>Two M4 clamp screws; labeled spare bag</x:v>
      </x:c>
      <x:c r="G15" s="101" t="str">
        <x:v>Confirm four accepted tips total from jobs 05A and 05B; label two INSTALL and two SPARE; complete phone-fixture assembly signoff</x:v>
      </x:c>
      <x:c r="H15" s="101" t="str">
        <x:v>NOT_KITTED</x:v>
      </x:c>
      <x:c r="I15" s="101" t="str">
        <x:v>NOT_INSPECTED</x:v>
      </x:c>
      <x:c r="J15" s="101" t="str">
        <x:v>RC02-PRO-R1 KIT-PHONE</x:v>
      </x:c>
    </x:row>
    <x:row r="16" ht="68" customHeight="1">
      <x:c r="A16" s="101" t="str">
        <x:v>03C1</x:v>
      </x:c>
      <x:c r="B16" s="101" t="str">
        <x:v>KIT-VISION-TAG</x:v>
      </x:c>
      <x:c r="C16" s="101" t="str">
        <x:v>AprilTag fixtures</x:v>
      </x:c>
      <x:c r="D16" s="101" t="str">
        <x:v>required</x:v>
      </x:c>
      <x:c r="E16" s="101" t="str">
        <x:v>1 ID0 tag frame</x:v>
      </x:c>
      <x:c r="F16" s="101" t="str">
        <x:v>2 #8 x 5/8 in screws; 2 M4 washers; ID0 55 mm paper tile; matte double-sided tape</x:v>
      </x:c>
      <x:c r="G16" s="101" t="str">
        <x:v>Verify 40.0 mm detection edge; paper lies flat clear of washers; +Y orientation; record tag_frame_first_article_pass</x:v>
      </x:c>
      <x:c r="H16" s="101" t="str">
        <x:v>NOT_KITTED</x:v>
      </x:c>
      <x:c r="I16" s="101" t="str">
        <x:v>NOT_INSPECTED</x:v>
      </x:c>
      <x:c r="J16" s="101" t="str">
        <x:v>RC02-PRO-R1 KIT-VISION-TAG</x:v>
      </x:c>
    </x:row>
    <x:row r="17" ht="68" customHeight="1">
      <x:c r="A17" s="101" t="str">
        <x:v>03C2</x:v>
      </x:c>
      <x:c r="B17" s="101" t="str">
        <x:v>KIT-VISION-TAG</x:v>
      </x:c>
      <x:c r="C17" s="101" t="str">
        <x:v>AprilTag fixtures</x:v>
      </x:c>
      <x:c r="D17" s="101" t="str">
        <x:v>required</x:v>
      </x:c>
      <x:c r="E17" s="101" t="str">
        <x:v>1 each ID1 ID2 ID3 ID4 and ID5 tag frame</x:v>
      </x:c>
      <x:c r="F17" s="101" t="str">
        <x:v>10 #8 x 5/8 in screws; 10 M4 washers; five matching 55 mm paper tiles; matte double-sided tape</x:v>
      </x:c>
      <x:c r="G17" s="101" t="str">
        <x:v>Verify all six IDs and +Y arrows; tiles flat; fasteners clear artwork; camera detects every tag without cable occlusion</x:v>
      </x:c>
      <x:c r="H17" s="101" t="str">
        <x:v>NOT_KITTED</x:v>
      </x:c>
      <x:c r="I17" s="101" t="str">
        <x:v>NOT_INSPECTED</x:v>
      </x:c>
      <x:c r="J17" s="101" t="str">
        <x:v>RC02-PRO-R1 KIT-VISION-TAG</x:v>
      </x:c>
    </x:row>
    <x:row r="18" ht="68" customHeight="1">
      <x:c r="A18" s="101" t="str">
        <x:v>03C3</x:v>
      </x:c>
      <x:c r="B18" s="101" t="str">
        <x:v>KIT-VISION-CAM</x:v>
      </x:c>
      <x:c r="C18" s="101" t="str">
        <x:v>Camera mount</x:v>
      </x:c>
      <x:c r="D18" s="101" t="str">
        <x:v>required</x:v>
      </x:c>
      <x:c r="E18" s="101" t="str">
        <x:v>1 universal camera plate</x:v>
      </x:c>
      <x:c r="F18" s="101" t="str">
        <x:v>Actual USB camera; 1 measured 1/4-20 screw and conditional nut; 2 M5 T-slot screws; 2 M5 T-nuts; 2 M5 washers; 2 straps or narrow ties</x:v>
      </x:c>
      <x:c r="G18" s="101" t="str">
        <x:v>Verify camera interface and screw depth; strap retention; washer seating; optical view includes all tags and devices</x:v>
      </x:c>
      <x:c r="H18" s="101" t="str">
        <x:v>NOT_KITTED</x:v>
      </x:c>
      <x:c r="I18" s="101" t="str">
        <x:v>NOT_INSPECTED</x:v>
      </x:c>
      <x:c r="J18" s="101" t="str">
        <x:v>RC02-PRO-R1 KIT-VISION-CAM</x:v>
      </x:c>
    </x:row>
    <x:row r="19" ht="68" customHeight="1">
      <x:c r="A19" s="101" t="str">
        <x:v>03D</x:v>
      </x:c>
      <x:c r="B19" s="101" t="str">
        <x:v>KIT-PUCK</x:v>
      </x:c>
      <x:c r="C19" s="101" t="str">
        <x:v>TCP calibration</x:v>
      </x:c>
      <x:c r="D19" s="101" t="str">
        <x:v>required</x:v>
      </x:c>
      <x:c r="E19" s="101" t="str">
        <x:v>1 calibration puck</x:v>
      </x:c>
      <x:c r="F19" s="101" t="str">
        <x:v>2 #8 x 5/8 in screws; 2 M4 washers</x:v>
      </x:c>
      <x:c r="G19" s="101" t="str">
        <x:v>Inspect divot and crosshair; verify free and mounted flatness; record assembled datum height and calibration-puck acceptance</x:v>
      </x:c>
      <x:c r="H19" s="101" t="str">
        <x:v>NOT_KITTED</x:v>
      </x:c>
      <x:c r="I19" s="101" t="str">
        <x:v>NOT_INSPECTED</x:v>
      </x:c>
      <x:c r="J19" s="101" t="str">
        <x:v>RC02-PRO-R1 KIT-PUCK</x:v>
      </x:c>
    </x:row>
    <x:row r="20" ht="68" customHeight="1">
      <x:c r="A20" s="101" t="str">
        <x:v>04A</x:v>
      </x:c>
      <x:c r="B20" s="101" t="str">
        <x:v>KIT-TOOL-COMMON</x:v>
      </x:c>
      <x:c r="C20" s="101" t="str">
        <x:v>Compliant tool common</x:v>
      </x:c>
      <x:c r="D20" s="101" t="str">
        <x:v>any_tool_route</x:v>
      </x:c>
      <x:c r="E20" s="101" t="str">
        <x:v>1 compliant tool body; 2 keyed top caps including 1 spare</x:v>
      </x:c>
      <x:c r="F20" s="101" t="str">
        <x:v>2 M3 heat-set inserts; 2 M3 x 10 mm button-head screws; 1 accepted spring; optional force gauge</x:v>
      </x:c>
      <x:c r="G20" s="101" t="str">
        <x:v>Verify body straightness grip flats bore insert alignment key fit and cap seating; later require 3-6 mm smooth travel without coil bind</x:v>
      </x:c>
      <x:c r="H20" s="101" t="str">
        <x:v>NOT_KITTED</x:v>
      </x:c>
      <x:c r="I20" s="101" t="str">
        <x:v>NOT_INSPECTED</x:v>
      </x:c>
      <x:c r="J20" s="101" t="str">
        <x:v>RC02-PRO-R1 KIT-TOOL-COMMON</x:v>
      </x:c>
    </x:row>
    <x:row r="21" ht="68" customHeight="1">
      <x:c r="A21" s="101" t="str">
        <x:v>04B</x:v>
      </x:c>
      <x:c r="B21" s="101" t="str">
        <x:v>KIT-TOOL-PHONE</x:v>
      </x:c>
      <x:c r="C21" s="101" t="str">
        <x:v>Phone stylus route</x:v>
      </x:c>
      <x:c r="D21" s="101" t="str">
        <x:v>phone_stylus_route</x:v>
      </x:c>
      <x:c r="E21" s="101" t="str">
        <x:v>2 stylus collars including 1 qualification spare</x:v>
      </x:c>
      <x:c r="F21" s="101" t="str">
        <x:v>1 accepted capacitive stylus; selected M2 x 3 mm grub screw or removable adhesive; M2 tap if used</x:v>
      </x:c>
      <x:c r="G21" s="101" t="str">
        <x:v>Qualify retention on the actual thin-wall collar; verify 24-hour creep smooth chamber travel and phone conductivity</x:v>
      </x:c>
      <x:c r="H21" s="101" t="str">
        <x:v>NOT_KITTED</x:v>
      </x:c>
      <x:c r="I21" s="101" t="str">
        <x:v>NOT_INSPECTED</x:v>
      </x:c>
      <x:c r="J21" s="101" t="str">
        <x:v>RC02-PRO-R1 KIT-TOOL-PHONE</x:v>
      </x:c>
    </x:row>
    <x:row r="22" ht="68" customHeight="1">
      <x:c r="A22" s="101" t="str">
        <x:v>04C</x:v>
      </x:c>
      <x:c r="B22" s="101" t="str">
        <x:v>KIT-TOOL-KB</x:v>
      </x:c>
      <x:c r="C22" s="101" t="str">
        <x:v>Keyboard rod route</x:v>
      </x:c>
      <x:c r="D22" s="101" t="str">
        <x:v>keyboard_rod_route</x:v>
      </x:c>
      <x:c r="E22" s="101" t="str">
        <x:v>2 rod bushings including 1 qualification spare</x:v>
      </x:c>
      <x:c r="F22" s="101" t="str">
        <x:v>1 deburred 6 mm rod; selected removable retaining adhesive if required; calipers</x:v>
      </x:c>
      <x:c r="G22" s="101" t="str">
        <x:v>Verify measured bore and flange; qualify axial pull retention and 24-hour creep before robot use</x:v>
      </x:c>
      <x:c r="H22" s="101" t="str">
        <x:v>NOT_KITTED</x:v>
      </x:c>
      <x:c r="I22" s="101" t="str">
        <x:v>NOT_INSPECTED</x:v>
      </x:c>
      <x:c r="J22" s="101" t="str">
        <x:v>RC02-PRO-R1 KIT-TOOL-KB</x:v>
      </x:c>
    </x:row>
    <x:row r="23" ht="68" customHeight="1">
      <x:c r="A23" s="101" t="str">
        <x:v>05C</x:v>
      </x:c>
      <x:c r="B23" s="101" t="str">
        <x:v>KIT-TOOL-KB</x:v>
      </x:c>
      <x:c r="C23" s="101" t="str">
        <x:v>Keyboard rod route</x:v>
      </x:c>
      <x:c r="D23" s="101" t="str">
        <x:v>keyboard_rod_route</x:v>
      </x:c>
      <x:c r="E23" s="101" t="str">
        <x:v>1 keyboard TPU tip</x:v>
      </x:c>
      <x:c r="F23" s="101" t="str">
        <x:v>Actual 6 mm rod and retained rigid 6 mm peg; optional force gauge</x:v>
      </x:c>
      <x:c r="G23" s="101" t="str">
        <x:v>Inspect bore and witness band; perform defined pull-off test; record keyboard_tpu_retention_coupon_pass</x:v>
      </x:c>
      <x:c r="H23" s="101" t="str">
        <x:v>NOT_KITTED</x:v>
      </x:c>
      <x:c r="I23" s="101" t="str">
        <x:v>NOT_INSPECTED</x:v>
      </x:c>
      <x:c r="J23" s="101" t="str">
        <x:v>RC02-PRO-R1 KIT-TOOL-KB</x:v>
      </x:c>
    </x:row>
    <x:row r="24" ht="68" customHeight="1">
      <x:c r="A24" s="101" t="str">
        <x:v>05D</x:v>
      </x:c>
      <x:c r="B24" s="101" t="str">
        <x:v>KIT-TOOL-KB</x:v>
      </x:c>
      <x:c r="C24" s="101" t="str">
        <x:v>Keyboard rod route</x:v>
      </x:c>
      <x:c r="D24" s="101" t="str">
        <x:v>keyboard_rod_route</x:v>
      </x:c>
      <x:c r="E24" s="101" t="str">
        <x:v>3 additional keyboard TPU tips</x:v>
      </x:c>
      <x:c r="F24" s="101" t="str">
        <x:v>Accepted 6 mm rod; labeled spare bag</x:v>
      </x:c>
      <x:c r="G24" s="101" t="str">
        <x:v>Confirm four accepted tips total from jobs 05C and 05D; label two INSTALL and two SPARE</x:v>
      </x:c>
      <x:c r="H24" s="101" t="str">
        <x:v>NOT_KITTED</x:v>
      </x:c>
      <x:c r="I24" s="101" t="str">
        <x:v>NOT_INSPECTED</x:v>
      </x:c>
      <x:c r="J24" s="101" t="str">
        <x:v>RC02-PRO-R1 KIT-TOOL-KB</x:v>
      </x:c>
    </x:row>
    <x:row r="25" ht="68" customHeight="1">
      <x:c r="A25" s="101" t="str">
        <x:v>06</x:v>
      </x:c>
      <x:c r="B25" s="101" t="str">
        <x:v>KIT-MAST</x:v>
      </x:c>
      <x:c r="C25" s="101" t="str">
        <x:v>Optional camera mast</x:v>
      </x:c>
      <x:c r="D25" s="101" t="str">
        <x:v>camera_mast_optional</x:v>
      </x:c>
      <x:c r="E25" s="101" t="str">
        <x:v>1 ASA 2020 socket ladder; 1 production-axis M5 nut clearance and washer gauge</x:v>
      </x:c>
      <x:c r="F25" s="101" t="str">
        <x:v>Actual 2020 extrusion sample; M5 bolt nut and washer samples; calipers</x:v>
      </x:c>
      <x:c r="G25" s="101" t="str">
        <x:v>Record asa_mast_socket_coupon_pass; asa_m5_nut_coupon_pass; asa_m5_clearance_coupon_pass using the final ASA spool</x:v>
      </x:c>
      <x:c r="H25" s="101" t="str">
        <x:v>NOT_KITTED</x:v>
      </x:c>
      <x:c r="I25" s="101" t="str">
        <x:v>NOT_INSPECTED</x:v>
      </x:c>
      <x:c r="J25" s="101" t="str">
        <x:v>RC02-PRO-R1 KIT-MAST</x:v>
      </x:c>
    </x:row>
    <x:row r="26" ht="68" customHeight="1">
      <x:c r="A26" s="101" t="str">
        <x:v>07A</x:v>
      </x:c>
      <x:c r="B26" s="101" t="str">
        <x:v>KIT-MAST</x:v>
      </x:c>
      <x:c r="C26" s="101" t="str">
        <x:v>Optional camera mast</x:v>
      </x:c>
      <x:c r="D26" s="101" t="str">
        <x:v>camera_mast_optional</x:v>
      </x:c>
      <x:c r="E26" s="101" t="str">
        <x:v>1 mast foot A</x:v>
      </x:c>
      <x:c r="F26" s="101" t="str">
        <x:v>1 vertical 2020 post; 2 M5 x 60 mm bolts; 2 M5 nuts; 2 M5 head washers; 4 base anchors; 4 M5 base washers</x:v>
      </x:c>
      <x:c r="G26" s="101" t="str">
        <x:v>Install post without bolt interference; alternate clamp tightening; verify base flatness and cracks immediately and after 24 hours; record mast_foot_first_article_pass</x:v>
      </x:c>
      <x:c r="H26" s="101" t="str">
        <x:v>NOT_KITTED</x:v>
      </x:c>
      <x:c r="I26" s="101" t="str">
        <x:v>NOT_INSPECTED</x:v>
      </x:c>
      <x:c r="J26" s="101" t="str">
        <x:v>RC02-PRO-R1 KIT-MAST</x:v>
      </x:c>
    </x:row>
    <x:row r="27" ht="68" customHeight="1">
      <x:c r="A27" s="101" t="str">
        <x:v>07B</x:v>
      </x:c>
      <x:c r="B27" s="101" t="str">
        <x:v>KIT-MAST</x:v>
      </x:c>
      <x:c r="C27" s="101" t="str">
        <x:v>Optional camera mast</x:v>
      </x:c>
      <x:c r="D27" s="101" t="str">
        <x:v>camera_mast_optional</x:v>
      </x:c>
      <x:c r="E27" s="101" t="str">
        <x:v>1 mast foot B</x:v>
      </x:c>
      <x:c r="F27" s="101" t="str">
        <x:v>1 vertical 2020 post; 2 M5 x 60 mm bolts; 2 M5 nuts; 2 M5 head washers; 4 base anchors; 4 M5 base washers</x:v>
      </x:c>
      <x:c r="G27" s="101" t="str">
        <x:v>Repeat first-article checks; label feet A and B; verify paired mast seating crossbar level and stand stability</x:v>
      </x:c>
      <x:c r="H27" s="101" t="str">
        <x:v>NOT_KITTED</x:v>
      </x:c>
      <x:c r="I27" s="101" t="str">
        <x:v>NOT_INSPECTED</x:v>
      </x:c>
      <x:c r="J27" s="101" t="str">
        <x:v>RC02-PRO-R1 KIT-MAST</x:v>
      </x:c>
    </x:row>
  </x:sheetData>
  <x:mergeCells>
    <x:mergeCell ref="A1:J1"/>
  </x:mergeCells>
  <x:conditionalFormatting sqref="H4:I27">
    <x:cfRule type="containsText" dxfId="30" priority="1" operator="containsText" text="PASS"/>
    <x:cfRule type="containsText" dxfId="31" priority="2" operator="containsText" text="READY"/>
    <x:cfRule type="containsText" dxfId="32" priority="3" operator="containsText" text="WAITING"/>
    <x:cfRule type="containsText" dxfId="33" priority="4" operator="containsText" text="NOT_TESTED"/>
    <x:cfRule type="containsText" dxfId="34" priority="5" operator="containsText" text="FAIL"/>
    <x:cfRule type="containsText" dxfId="35" priority="6" operator="containsText" text="NOT_SELECTED"/>
  </x:conditionalFormatting>
  <x:pageMargins left="0.7" right="0.7" top="0.75" bottom="0.75" header="0.3" footer="0.3"/>
  <x:tableParts count="1">
    <x:tablePart xmlns:r="http://schemas.openxmlformats.org/officeDocument/2006/relationships" r:id="R5d71ac7abd9740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5" hidden="0" customWidth="1"/>
    <x:col min="4" max="4" width="20" hidden="0" customWidth="1"/>
    <x:col min="5" max="5" width="22" hidden="0" customWidth="1"/>
    <x:col min="6" max="6" width="22" hidden="0" customWidth="1"/>
    <x:col min="7" max="7" width="60" hidden="0" customWidth="1"/>
    <x:col min="8" max="8" width="48" hidden="0" customWidth="1"/>
    <x:col min="9" max="9" width="46" hidden="0" customWidth="1"/>
  </x:cols>
  <x:sheetData>
    <x:row r="1" ht="30" customHeight="1">
      <x:c r="A1" s="86" t="str">
        <x:v>Build Lifecycle - release is sequential from UNRELEASED through IN_SERVICE</x:v>
      </x:c>
      <x:c r="B1" s="86"/>
      <x:c r="C1" s="86"/>
      <x:c r="D1" s="86"/>
      <x:c r="E1" s="86"/>
      <x:c r="F1" s="86"/>
      <x:c r="G1" s="86"/>
      <x:c r="H1" s="86"/>
      <x:c r="I1" s="86"/>
    </x:row>
    <x:row r="3" ht="30" customHeight="1">
      <x:c r="A3" s="93" t="str">
        <x:v>Job</x:v>
      </x:c>
      <x:c r="B3" s="94" t="str">
        <x:v>Selected</x:v>
      </x:c>
      <x:c r="C3" s="94" t="str">
        <x:v>Stage</x:v>
      </x:c>
      <x:c r="D3" s="94" t="str">
        <x:v>Kit</x:v>
      </x:c>
      <x:c r="E3" s="94" t="str">
        <x:v>Recorded state</x:v>
      </x:c>
      <x:c r="F3" s="94" t="str">
        <x:v>Effective state</x:v>
      </x:c>
      <x:c r="G3" s="94" t="str">
        <x:v>Missing prerequisites</x:v>
      </x:c>
      <x:c r="H3" s="94" t="str">
        <x:v>Post-print gates</x:v>
      </x:c>
      <x:c r="I3" s="95" t="str">
        <x:v>Assembly gates</x:v>
      </x:c>
    </x:row>
    <x:row r="4" ht="82" customHeight="1">
      <x:c r="A4" s="100" t="str">
        <x:v>00A</x:v>
      </x:c>
      <x:c r="B4" s="100" t="str">
        <x:v>YES</x:v>
      </x:c>
      <x:c r="C4" s="100" t="str">
        <x:v>diagnostic</x:v>
      </x:c>
      <x:c r="D4" s="100" t="str">
        <x:v>KIT-CAL</x:v>
      </x:c>
      <x:c r="E4" s="100" t="str">
        <x:v>UNRELEASED</x:v>
      </x:c>
      <x:c r="F4" s="100" t="str">
        <x:v>UNRELEASED</x:v>
      </x:c>
      <x:c r="G4" s="100" t="str">
        <x:v>nozzle_0p4_confirmed; petg_tray_profile_calibrated</x:v>
      </x:c>
      <x:c r="H4" s="100" t="str">
        <x:v>keyboard_corner_coupon_pass; keyboard_seam_coupon_pass; tray_clearance_holes_coupon_pass</x:v>
      </x:c>
      <x:c r="I4" s="100" t="str"/>
    </x:row>
    <x:row r="5" ht="82" customHeight="1">
      <x:c r="A5" s="101" t="str">
        <x:v>00B</x:v>
      </x:c>
      <x:c r="B5" s="101" t="str">
        <x:v>YES</x:v>
      </x:c>
      <x:c r="C5" s="101" t="str">
        <x:v>diagnostic</x:v>
      </x:c>
      <x:c r="D5" s="101" t="str">
        <x:v>KIT-CAL</x:v>
      </x:c>
      <x:c r="E5" s="101" t="str">
        <x:v>UNRELEASED</x:v>
      </x:c>
      <x:c r="F5" s="101" t="str">
        <x:v>UNRELEASED</x:v>
      </x:c>
      <x:c r="G5" s="101" t="str">
        <x:v>nozzle_0p4_confirmed; petg_cradle_profile_calibrated</x:v>
      </x:c>
      <x:c r="H5" s="101" t="str">
        <x:v>phone_width_coupon_pass; m4_horizontal_insert_coupon_pass; cable_tie_saddle_coupon_pass; cradle_m4_washer_coupon_pass</x:v>
      </x:c>
      <x:c r="I5" s="101" t="str"/>
    </x:row>
    <x:row r="6" ht="82" customHeight="1">
      <x:c r="A6" s="101" t="str">
        <x:v>00C</x:v>
      </x:c>
      <x:c r="B6" s="101" t="str">
        <x:v>YES</x:v>
      </x:c>
      <x:c r="C6" s="101" t="str">
        <x:v>diagnostic</x:v>
      </x:c>
      <x:c r="D6" s="101" t="str">
        <x:v>KIT-CAL</x:v>
      </x:c>
      <x:c r="E6" s="101" t="str">
        <x:v>UNRELEASED</x:v>
      </x:c>
      <x:c r="F6" s="101" t="str">
        <x:v>UNRELEASED</x:v>
      </x:c>
      <x:c r="G6" s="101" t="str">
        <x:v>nozzle_0p4_confirmed; petg_precision_profile_calibrated</x:v>
      </x:c>
      <x:c r="H6" s="101" t="str">
        <x:v>m3_insert_coupon_pass; gripper_coupon_pass; spring_fit_coupon_pass; precision_m3_head_coupon_pass</x:v>
      </x:c>
      <x:c r="I6" s="101" t="str"/>
    </x:row>
    <x:row r="7" ht="82" customHeight="1">
      <x:c r="A7" s="101" t="str">
        <x:v>00D</x:v>
      </x:c>
      <x:c r="B7" s="101" t="str">
        <x:v>YES</x:v>
      </x:c>
      <x:c r="C7" s="101" t="str">
        <x:v>diagnostic</x:v>
      </x:c>
      <x:c r="D7" s="101" t="str">
        <x:v>KIT-CAL</x:v>
      </x:c>
      <x:c r="E7" s="101" t="str">
        <x:v>UNRELEASED</x:v>
      </x:c>
      <x:c r="F7" s="101" t="str">
        <x:v>UNRELEASED</x:v>
      </x:c>
      <x:c r="G7" s="101" t="str">
        <x:v>nozzle_0p4_confirmed; petg_adapter_profile_calibrated</x:v>
      </x:c>
      <x:c r="H7" s="101" t="str">
        <x:v>stylus_gauge_coupon_pass; thread_pilot_coupon_pass</x:v>
      </x:c>
      <x:c r="I7" s="101" t="str"/>
    </x:row>
    <x:row r="8" ht="82" customHeight="1">
      <x:c r="A8" s="101" t="str">
        <x:v>00E</x:v>
      </x:c>
      <x:c r="B8" s="101" t="str">
        <x:v>YES</x:v>
      </x:c>
      <x:c r="C8" s="101" t="str">
        <x:v>diagnostic</x:v>
      </x:c>
      <x:c r="D8" s="101" t="str">
        <x:v>KIT-CAL</x:v>
      </x:c>
      <x:c r="E8" s="101" t="str">
        <x:v>UNRELEASED</x:v>
      </x:c>
      <x:c r="F8" s="101" t="str">
        <x:v>UNRELEASED</x:v>
      </x:c>
      <x:c r="G8" s="101" t="str">
        <x:v>nozzle_0p4_confirmed; petg_general_profile_calibrated</x:v>
      </x:c>
      <x:c r="H8" s="101" t="str">
        <x:v>general_clearance_holes_coupon_pass; setup_hardware_coupon_pass</x:v>
      </x:c>
      <x:c r="I8" s="101" t="str"/>
    </x:row>
    <x:row r="9" ht="82" customHeight="1">
      <x:c r="A9" s="101" t="str">
        <x:v>00F</x:v>
      </x:c>
      <x:c r="B9" s="101" t="str">
        <x:v>YES</x:v>
      </x:c>
      <x:c r="C9" s="101" t="str">
        <x:v>diagnostic</x:v>
      </x:c>
      <x:c r="D9" s="101" t="str">
        <x:v>KIT-CAL</x:v>
      </x:c>
      <x:c r="E9" s="101" t="str">
        <x:v>UNRELEASED</x:v>
      </x:c>
      <x:c r="F9" s="101" t="str">
        <x:v>UNRELEASED</x:v>
      </x:c>
      <x:c r="G9" s="101" t="str">
        <x:v>nozzle_0p4_confirmed; petg_calibration_profile_calibrated</x:v>
      </x:c>
      <x:c r="H9" s="101" t="str">
        <x:v>calibration_clearance_holes_coupon_pass</x:v>
      </x:c>
      <x:c r="I9" s="101" t="str"/>
    </x:row>
    <x:row r="10" ht="82" customHeight="1">
      <x:c r="A10" s="101" t="str">
        <x:v>01</x:v>
      </x:c>
      <x:c r="B10" s="101" t="str">
        <x:v>YES</x:v>
      </x:c>
      <x:c r="C10" s="101" t="str">
        <x:v>first_article</x:v>
      </x:c>
      <x:c r="D10" s="101" t="str">
        <x:v>KIT-KB</x:v>
      </x:c>
      <x:c r="E10" s="101" t="str">
        <x:v>UNRELEASED</x:v>
      </x:c>
      <x:c r="F10" s="101" t="str">
        <x:v>UNRELEASED</x:v>
      </x:c>
      <x:c r="G10" s="101" t="str">
        <x:v>nozzle_0p4_confirmed; petg_tray_profile_calibrated; keyboard_dimensions_measured; keyboard_corner_coupon_pass; keyboard_seam_coupon_pass; tray_clearance_holes_coupon_pass; geometry_matches_measurements; qidi_studio_roundtrip_confirmed</x:v>
      </x:c>
      <x:c r="H10" s="101" t="str">
        <x:v>keyboard_left_first_article_pass</x:v>
      </x:c>
      <x:c r="I10" s="101" t="str"/>
    </x:row>
    <x:row r="11" ht="82" customHeight="1">
      <x:c r="A11" s="101" t="str">
        <x:v>02</x:v>
      </x:c>
      <x:c r="B11" s="101" t="str">
        <x:v>YES</x:v>
      </x:c>
      <x:c r="C11" s="101" t="str">
        <x:v>production</x:v>
      </x:c>
      <x:c r="D11" s="101" t="str">
        <x:v>KIT-KB</x:v>
      </x:c>
      <x:c r="E11" s="101" t="str">
        <x:v>UNRELEASED</x:v>
      </x:c>
      <x:c r="F11" s="101" t="str">
        <x:v>UNRELEASED</x:v>
      </x:c>
      <x:c r="G11" s="101" t="str">
        <x:v>nozzle_0p4_confirmed; petg_tray_profile_calibrated; keyboard_dimensions_measured; keyboard_corner_coupon_pass; keyboard_seam_coupon_pass; tray_clearance_holes_coupon_pass; geometry_matches_measurements; keyboard_left_first_article_pass; qidi_studio_roundtrip_confirmed</x:v>
      </x:c>
      <x:c r="H11" s="101" t="str">
        <x:v>keyboard_tray_pair_postprint_pass</x:v>
      </x:c>
      <x:c r="I11" s="101" t="str">
        <x:v>keyboard_fixture_assembly_pass</x:v>
      </x:c>
    </x:row>
    <x:row r="12" ht="82" customHeight="1">
      <x:c r="A12" s="101" t="str">
        <x:v>03A</x:v>
      </x:c>
      <x:c r="B12" s="101" t="str">
        <x:v>YES</x:v>
      </x:c>
      <x:c r="C12" s="101" t="str">
        <x:v>production</x:v>
      </x:c>
      <x:c r="D12" s="101" t="str">
        <x:v>KIT-PHONE</x:v>
      </x:c>
      <x:c r="E12" s="101" t="str">
        <x:v>UNRELEASED</x:v>
      </x:c>
      <x:c r="F12" s="101" t="str">
        <x:v>UNRELEASED</x:v>
      </x:c>
      <x:c r="G12" s="101" t="str">
        <x:v>nozzle_0p4_confirmed; petg_cradle_profile_calibrated; phone_dimensions_measured; phone_side_features_measured; phone_cable_measured; phone_width_coupon_pass; m4_horizontal_insert_coupon_pass; cable_tie_saddle_coupon_pass; cradle_m4_washer_coupon_pass; geometry_matches_measurements; qidi_studio_roundtrip_confirmed</x:v>
      </x:c>
      <x:c r="H12" s="101" t="str">
        <x:v>phone_cradle_postprint_pass</x:v>
      </x:c>
      <x:c r="I12" s="101" t="str">
        <x:v>phone_fixture_assembly_pass</x:v>
      </x:c>
    </x:row>
    <x:row r="13" ht="82" customHeight="1">
      <x:c r="A13" s="101" t="str">
        <x:v>03B</x:v>
      </x:c>
      <x:c r="B13" s="101" t="str">
        <x:v>YES</x:v>
      </x:c>
      <x:c r="C13" s="101" t="str">
        <x:v>production</x:v>
      </x:c>
      <x:c r="D13" s="101" t="str">
        <x:v>KIT-KB</x:v>
      </x:c>
      <x:c r="E13" s="101" t="str">
        <x:v>UNRELEASED</x:v>
      </x:c>
      <x:c r="F13" s="101" t="str">
        <x:v>UNRELEASED</x:v>
      </x:c>
      <x:c r="G13" s="101" t="str">
        <x:v>nozzle_0p4_confirmed; petg_general_profile_calibrated; keyboard_dimensions_measured; keyboard_corner_coupon_pass; general_clearance_holes_coupon_pass; setup_hardware_coupon_pass; geometry_matches_measurements; qidi_studio_roundtrip_confirmed</x:v>
      </x:c>
      <x:c r="H13" s="101" t="str">
        <x:v>keyboard_clamps_postprint_pass</x:v>
      </x:c>
      <x:c r="I13" s="101" t="str">
        <x:v>keyboard_fixture_assembly_pass</x:v>
      </x:c>
    </x:row>
    <x:row r="14" ht="82" customHeight="1">
      <x:c r="A14" s="101" t="str">
        <x:v>03C1</x:v>
      </x:c>
      <x:c r="B14" s="101" t="str">
        <x:v>YES</x:v>
      </x:c>
      <x:c r="C14" s="101" t="str">
        <x:v>first_article</x:v>
      </x:c>
      <x:c r="D14" s="101" t="str">
        <x:v>KIT-VISION-TAG</x:v>
      </x:c>
      <x:c r="E14" s="101" t="str">
        <x:v>UNRELEASED</x:v>
      </x:c>
      <x:c r="F14" s="101" t="str">
        <x:v>UNRELEASED</x:v>
      </x:c>
      <x:c r="G14" s="101" t="str">
        <x:v>nozzle_0p4_confirmed; petg_general_profile_calibrated; tag_stock_measured; general_clearance_holes_coupon_pass; setup_hardware_coupon_pass; geometry_matches_measurements; qidi_studio_roundtrip_confirmed</x:v>
      </x:c>
      <x:c r="H14" s="101" t="str">
        <x:v>tag_artwork_scale_pass; tag_frame_first_article_pass</x:v>
      </x:c>
      <x:c r="I14" s="101" t="str"/>
    </x:row>
    <x:row r="15" ht="82" customHeight="1">
      <x:c r="A15" s="101" t="str">
        <x:v>03C2</x:v>
      </x:c>
      <x:c r="B15" s="101" t="str">
        <x:v>YES</x:v>
      </x:c>
      <x:c r="C15" s="101" t="str">
        <x:v>production</x:v>
      </x:c>
      <x:c r="D15" s="101" t="str">
        <x:v>KIT-VISION-TAG</x:v>
      </x:c>
      <x:c r="E15" s="101" t="str">
        <x:v>UNRELEASED</x:v>
      </x:c>
      <x:c r="F15" s="101" t="str">
        <x:v>UNRELEASED</x:v>
      </x:c>
      <x:c r="G15" s="101" t="str">
        <x:v>nozzle_0p4_confirmed; petg_general_profile_calibrated; tag_stock_measured; tag_artwork_scale_pass; tag_frame_first_article_pass; qidi_studio_roundtrip_confirmed</x:v>
      </x:c>
      <x:c r="H15" s="101" t="str">
        <x:v>tag_frame_batch_postprint_pass</x:v>
      </x:c>
      <x:c r="I15" s="101" t="str">
        <x:v>tag_frame_installation_pass</x:v>
      </x:c>
    </x:row>
    <x:row r="16" ht="82" customHeight="1">
      <x:c r="A16" s="101" t="str">
        <x:v>03C3</x:v>
      </x:c>
      <x:c r="B16" s="101" t="str">
        <x:v>YES</x:v>
      </x:c>
      <x:c r="C16" s="101" t="str">
        <x:v>production</x:v>
      </x:c>
      <x:c r="D16" s="101" t="str">
        <x:v>KIT-VISION-CAM</x:v>
      </x:c>
      <x:c r="E16" s="101" t="str">
        <x:v>UNRELEASED</x:v>
      </x:c>
      <x:c r="F16" s="101" t="str">
        <x:v>UNRELEASED</x:v>
      </x:c>
      <x:c r="G16" s="101" t="str">
        <x:v>nozzle_0p4_confirmed; petg_general_profile_calibrated; camera_mount_interface_measured; general_clearance_holes_coupon_pass; setup_hardware_coupon_pass; geometry_matches_measurements; qidi_studio_roundtrip_confirmed</x:v>
      </x:c>
      <x:c r="H16" s="101" t="str">
        <x:v>camera_plate_hardware_pass</x:v>
      </x:c>
      <x:c r="I16" s="101" t="str"/>
    </x:row>
    <x:row r="17" ht="82" customHeight="1">
      <x:c r="A17" s="101" t="str">
        <x:v>03D</x:v>
      </x:c>
      <x:c r="B17" s="101" t="str">
        <x:v>YES</x:v>
      </x:c>
      <x:c r="C17" s="101" t="str">
        <x:v>production</x:v>
      </x:c>
      <x:c r="D17" s="101" t="str">
        <x:v>KIT-PUCK</x:v>
      </x:c>
      <x:c r="E17" s="101" t="str">
        <x:v>UNRELEASED</x:v>
      </x:c>
      <x:c r="F17" s="101" t="str">
        <x:v>UNRELEASED</x:v>
      </x:c>
      <x:c r="G17" s="101" t="str">
        <x:v>nozzle_0p4_confirmed; petg_calibration_profile_calibrated; calibration_clearance_holes_coupon_pass; geometry_matches_measurements; qidi_studio_roundtrip_confirmed</x:v>
      </x:c>
      <x:c r="H17" s="101" t="str">
        <x:v>calibration_puck_datum_pass</x:v>
      </x:c>
      <x:c r="I17" s="101" t="str"/>
    </x:row>
    <x:row r="18" ht="82" customHeight="1">
      <x:c r="A18" s="101" t="str">
        <x:v>04A</x:v>
      </x:c>
      <x:c r="B18" s="101" t="str">
        <x:v>NO</x:v>
      </x:c>
      <x:c r="C18" s="101" t="str">
        <x:v>route</x:v>
      </x:c>
      <x:c r="D18" s="101" t="str">
        <x:v>KIT-TOOL-COMMON</x:v>
      </x:c>
      <x:c r="E18" s="101" t="str">
        <x:v>UNRELEASED</x:v>
      </x:c>
      <x:c r="F18" s="101" t="str">
        <x:v>NOT_SELECTED</x:v>
      </x:c>
      <x:c r="G18" s="101" t="str">
        <x:v>nozzle_0p4_confirmed; petg_precision_profile_calibrated; m3_insert_coupon_pass; gripper_interface_measured; gripper_coupon_pass; spring_dimensions_measured; spring_fit_coupon_pass; precision_m3_head_coupon_pass; geometry_matches_measurements; qidi_studio_roundtrip_confirmed</x:v>
      </x:c>
      <x:c r="H18" s="101" t="str">
        <x:v>tool_body_postprint_pass</x:v>
      </x:c>
      <x:c r="I18" s="101" t="str">
        <x:v>tool_assembled_motion_pass</x:v>
      </x:c>
    </x:row>
    <x:row r="19" ht="82" customHeight="1">
      <x:c r="A19" s="101" t="str">
        <x:v>04B</x:v>
      </x:c>
      <x:c r="B19" s="101" t="str">
        <x:v>NO</x:v>
      </x:c>
      <x:c r="C19" s="101" t="str">
        <x:v>route</x:v>
      </x:c>
      <x:c r="D19" s="101" t="str">
        <x:v>KIT-TOOL-PHONE</x:v>
      </x:c>
      <x:c r="E19" s="101" t="str">
        <x:v>UNRELEASED</x:v>
      </x:c>
      <x:c r="F19" s="101" t="str">
        <x:v>NOT_SELECTED</x:v>
      </x:c>
      <x:c r="G19" s="101" t="str">
        <x:v>nozzle_0p4_confirmed; petg_adapter_profile_calibrated; stylus_diameter_measured; stylus_gauge_coupon_pass; adapter_retention_method_selected; qidi_studio_roundtrip_confirmed</x:v>
      </x:c>
      <x:c r="H19" s="101" t="str">
        <x:v>stylus_collar_retention_pass</x:v>
      </x:c>
      <x:c r="I19" s="101" t="str">
        <x:v>stylus_function_pass; tool_assembled_motion_pass</x:v>
      </x:c>
    </x:row>
    <x:row r="20" ht="82" customHeight="1">
      <x:c r="A20" s="101" t="str">
        <x:v>04C</x:v>
      </x:c>
      <x:c r="B20" s="101" t="str">
        <x:v>NO</x:v>
      </x:c>
      <x:c r="C20" s="101" t="str">
        <x:v>route</x:v>
      </x:c>
      <x:c r="D20" s="101" t="str">
        <x:v>KIT-TOOL-KB</x:v>
      </x:c>
      <x:c r="E20" s="101" t="str">
        <x:v>UNRELEASED</x:v>
      </x:c>
      <x:c r="F20" s="101" t="str">
        <x:v>NOT_SELECTED</x:v>
      </x:c>
      <x:c r="G20" s="101" t="str">
        <x:v>nozzle_0p4_confirmed; petg_adapter_profile_calibrated; keyboard_rod_measured; adapter_retention_method_selected; geometry_matches_measurements; qidi_studio_roundtrip_confirmed</x:v>
      </x:c>
      <x:c r="H20" s="101" t="str">
        <x:v>rod_bushing_retention_pass</x:v>
      </x:c>
      <x:c r="I20" s="101" t="str">
        <x:v>tool_assembled_motion_pass</x:v>
      </x:c>
    </x:row>
    <x:row r="21" ht="82" customHeight="1">
      <x:c r="A21" s="101" t="str">
        <x:v>05A</x:v>
      </x:c>
      <x:c r="B21" s="101" t="str">
        <x:v>YES</x:v>
      </x:c>
      <x:c r="C21" s="101" t="str">
        <x:v>first_article</x:v>
      </x:c>
      <x:c r="D21" s="101" t="str">
        <x:v>KIT-PHONE</x:v>
      </x:c>
      <x:c r="E21" s="101" t="str">
        <x:v>UNRELEASED</x:v>
      </x:c>
      <x:c r="F21" s="101" t="str">
        <x:v>UNRELEASED</x:v>
      </x:c>
      <x:c r="G21" s="101" t="str">
        <x:v>nozzle_0p4_confirmed; tpu_profile_calibrated; qidi_studio_roundtrip_confirmed</x:v>
      </x:c>
      <x:c r="H21" s="101" t="str">
        <x:v>phone_tpu_retention_coupon_pass</x:v>
      </x:c>
      <x:c r="I21" s="101" t="str"/>
    </x:row>
    <x:row r="22" ht="82" customHeight="1">
      <x:c r="A22" s="101" t="str">
        <x:v>05B</x:v>
      </x:c>
      <x:c r="B22" s="101" t="str">
        <x:v>YES</x:v>
      </x:c>
      <x:c r="C22" s="101" t="str">
        <x:v>production</x:v>
      </x:c>
      <x:c r="D22" s="101" t="str">
        <x:v>KIT-PHONE</x:v>
      </x:c>
      <x:c r="E22" s="101" t="str">
        <x:v>UNRELEASED</x:v>
      </x:c>
      <x:c r="F22" s="101" t="str">
        <x:v>UNRELEASED</x:v>
      </x:c>
      <x:c r="G22" s="101" t="str">
        <x:v>nozzle_0p4_confirmed; tpu_profile_calibrated; phone_tpu_retention_coupon_pass; qidi_studio_roundtrip_confirmed</x:v>
      </x:c>
      <x:c r="H22" s="101" t="str">
        <x:v>phone_tpu_batch_postprint_pass</x:v>
      </x:c>
      <x:c r="I22" s="101" t="str">
        <x:v>phone_fixture_assembly_pass</x:v>
      </x:c>
    </x:row>
    <x:row r="23" ht="82" customHeight="1">
      <x:c r="A23" s="101" t="str">
        <x:v>05C</x:v>
      </x:c>
      <x:c r="B23" s="101" t="str">
        <x:v>NO</x:v>
      </x:c>
      <x:c r="C23" s="101" t="str">
        <x:v>first_article</x:v>
      </x:c>
      <x:c r="D23" s="101" t="str">
        <x:v>KIT-TOOL-KB</x:v>
      </x:c>
      <x:c r="E23" s="101" t="str">
        <x:v>UNRELEASED</x:v>
      </x:c>
      <x:c r="F23" s="101" t="str">
        <x:v>NOT_SELECTED</x:v>
      </x:c>
      <x:c r="G23" s="101" t="str">
        <x:v>nozzle_0p4_confirmed; tpu_profile_calibrated; keyboard_rod_measured; qidi_studio_roundtrip_confirmed</x:v>
      </x:c>
      <x:c r="H23" s="101" t="str">
        <x:v>keyboard_tpu_retention_coupon_pass</x:v>
      </x:c>
      <x:c r="I23" s="101" t="str"/>
    </x:row>
    <x:row r="24" ht="82" customHeight="1">
      <x:c r="A24" s="101" t="str">
        <x:v>05D</x:v>
      </x:c>
      <x:c r="B24" s="101" t="str">
        <x:v>NO</x:v>
      </x:c>
      <x:c r="C24" s="101" t="str">
        <x:v>production</x:v>
      </x:c>
      <x:c r="D24" s="101" t="str">
        <x:v>KIT-TOOL-KB</x:v>
      </x:c>
      <x:c r="E24" s="101" t="str">
        <x:v>UNRELEASED</x:v>
      </x:c>
      <x:c r="F24" s="101" t="str">
        <x:v>NOT_SELECTED</x:v>
      </x:c>
      <x:c r="G24" s="101" t="str">
        <x:v>nozzle_0p4_confirmed; tpu_profile_calibrated; keyboard_rod_measured; keyboard_tpu_retention_coupon_pass; qidi_studio_roundtrip_confirmed</x:v>
      </x:c>
      <x:c r="H24" s="101" t="str">
        <x:v>keyboard_tpu_batch_postprint_pass</x:v>
      </x:c>
      <x:c r="I24" s="101" t="str">
        <x:v>tool_assembled_motion_pass</x:v>
      </x:c>
    </x:row>
    <x:row r="25" ht="82" customHeight="1">
      <x:c r="A25" s="101" t="str">
        <x:v>06</x:v>
      </x:c>
      <x:c r="B25" s="101" t="str">
        <x:v>NO</x:v>
      </x:c>
      <x:c r="C25" s="101" t="str">
        <x:v>diagnostic</x:v>
      </x:c>
      <x:c r="D25" s="101" t="str">
        <x:v>KIT-MAST</x:v>
      </x:c>
      <x:c r="E25" s="101" t="str">
        <x:v>UNRELEASED</x:v>
      </x:c>
      <x:c r="F25" s="101" t="str">
        <x:v>NOT_SELECTED</x:v>
      </x:c>
      <x:c r="G25" s="101" t="str">
        <x:v>nozzle_0p4_confirmed; asa_profile_calibrated</x:v>
      </x:c>
      <x:c r="H25" s="101" t="str">
        <x:v>asa_mast_socket_coupon_pass; asa_m5_nut_coupon_pass; asa_m5_clearance_coupon_pass</x:v>
      </x:c>
      <x:c r="I25" s="101" t="str"/>
    </x:row>
    <x:row r="26" ht="82" customHeight="1">
      <x:c r="A26" s="101" t="str">
        <x:v>07A</x:v>
      </x:c>
      <x:c r="B26" s="101" t="str">
        <x:v>NO</x:v>
      </x:c>
      <x:c r="C26" s="101" t="str">
        <x:v>first_article</x:v>
      </x:c>
      <x:c r="D26" s="101" t="str">
        <x:v>KIT-MAST</x:v>
      </x:c>
      <x:c r="E26" s="101" t="str">
        <x:v>UNRELEASED</x:v>
      </x:c>
      <x:c r="F26" s="101" t="str">
        <x:v>NOT_SELECTED</x:v>
      </x:c>
      <x:c r="G26" s="101" t="str">
        <x:v>nozzle_0p4_confirmed; asa_profile_calibrated; asa_mast_socket_coupon_pass; asa_m5_nut_coupon_pass; asa_m5_clearance_coupon_pass; geometry_matches_measurements; qidi_studio_roundtrip_confirmed</x:v>
      </x:c>
      <x:c r="H26" s="101" t="str">
        <x:v>mast_foot_first_article_pass</x:v>
      </x:c>
      <x:c r="I26" s="101" t="str"/>
    </x:row>
    <x:row r="27" ht="82" customHeight="1">
      <x:c r="A27" s="101" t="str">
        <x:v>07B</x:v>
      </x:c>
      <x:c r="B27" s="101" t="str">
        <x:v>NO</x:v>
      </x:c>
      <x:c r="C27" s="101" t="str">
        <x:v>optional</x:v>
      </x:c>
      <x:c r="D27" s="101" t="str">
        <x:v>KIT-MAST</x:v>
      </x:c>
      <x:c r="E27" s="101" t="str">
        <x:v>UNRELEASED</x:v>
      </x:c>
      <x:c r="F27" s="101" t="str">
        <x:v>NOT_SELECTED</x:v>
      </x:c>
      <x:c r="G27" s="101" t="str">
        <x:v>nozzle_0p4_confirmed; asa_profile_calibrated; asa_mast_socket_coupon_pass; asa_m5_nut_coupon_pass; asa_m5_clearance_coupon_pass; geometry_matches_measurements; mast_foot_first_article_pass; qidi_studio_roundtrip_confirmed</x:v>
      </x:c>
      <x:c r="H27" s="101" t="str">
        <x:v>mast_second_foot_postprint_pass</x:v>
      </x:c>
      <x:c r="I27" s="101" t="str">
        <x:v>mast_pair_installation_pass</x:v>
      </x:c>
    </x:row>
  </x:sheetData>
  <x:mergeCells>
    <x:mergeCell ref="A1:I1"/>
  </x:mergeCells>
  <x:conditionalFormatting sqref="E4:F27">
    <x:cfRule type="containsText" dxfId="36" priority="1" operator="containsText" text="PASS"/>
    <x:cfRule type="containsText" dxfId="37" priority="2" operator="containsText" text="READY"/>
    <x:cfRule type="containsText" dxfId="38" priority="3" operator="containsText" text="WAITING"/>
    <x:cfRule type="containsText" dxfId="39" priority="4" operator="containsText" text="NOT_TESTED"/>
    <x:cfRule type="containsText" dxfId="40" priority="5" operator="containsText" text="FAIL"/>
    <x:cfRule type="containsText" dxfId="41" priority="6" operator="containsText" text="NOT_SELECTED"/>
  </x:conditionalFormatting>
  <x:pageMargins left="0.7" right="0.7" top="0.75" bottom="0.75" header="0.3" footer="0.3"/>
  <x:tableParts count="1">
    <x:tablePart xmlns:r="http://schemas.openxmlformats.org/officeDocument/2006/relationships" r:id="R354751cb41f2476b"/>
  </x:tableParts>
</x:worksheet>
</file>