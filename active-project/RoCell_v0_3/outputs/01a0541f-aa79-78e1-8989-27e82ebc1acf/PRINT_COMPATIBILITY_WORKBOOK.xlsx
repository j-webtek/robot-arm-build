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855db8d4cd4760" /></Relationships>
</file>

<file path=xl/workbook.xml><?xml version="1.0" encoding="utf-8"?>
<x:workbook xmlns:x="http://schemas.openxmlformats.org/spreadsheetml/2006/main">
  <x:sheets>
    <x:sheet xmlns:r="http://schemas.openxmlformats.org/officeDocument/2006/relationships" name="Read Me" sheetId="1" r:id="R6d63987e8e6140d1"/>
    <x:sheet xmlns:r="http://schemas.openxmlformats.org/officeDocument/2006/relationships" name="Release Holds" sheetId="2" r:id="R228e0e5a6ce244cf"/>
    <x:sheet xmlns:r="http://schemas.openxmlformats.org/officeDocument/2006/relationships" name="Routes" sheetId="3" r:id="R6033cb5a880e4502"/>
    <x:sheet xmlns:r="http://schemas.openxmlformats.org/officeDocument/2006/relationships" name="Compatibility Gates" sheetId="4" r:id="R6f78a90ad59a4d12"/>
    <x:sheet xmlns:r="http://schemas.openxmlformats.org/officeDocument/2006/relationships" name="Job Gate Map" sheetId="5" r:id="R26dc31b1ddee474a"/>
    <x:sheet xmlns:r="http://schemas.openxmlformats.org/officeDocument/2006/relationships" name="Print Queue" sheetId="6" r:id="Rf5f7a57f63c6412e"/>
    <x:sheet xmlns:r="http://schemas.openxmlformats.org/officeDocument/2006/relationships" name="Profiles" sheetId="7" r:id="Rb2fac91a90c145b8"/>
    <x:sheet xmlns:r="http://schemas.openxmlformats.org/officeDocument/2006/relationships" name="Part Map" sheetId="8" r:id="R801e210bd95e4f4d"/>
    <x:sheet xmlns:r="http://schemas.openxmlformats.org/officeDocument/2006/relationships" name="Board Layout" sheetId="9" r:id="Rd3137dccf77d47c9"/>
    <x:sheet xmlns:r="http://schemas.openxmlformats.org/officeDocument/2006/relationships" name="Job Kits" sheetId="10" r:id="R2e76c5180f6b4545"/>
    <x:sheet xmlns:r="http://schemas.openxmlformats.org/officeDocument/2006/relationships" name="Build Tracker" sheetId="11" r:id="R085290847c1d422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10">
    <x:font>
      <x:sz val="11"/>
      <x:name val="Carlito"/>
    </x:font>
    <x:font>
      <x:b/>
      <x:sz val="15"/>
      <x:color rgb="FFFFFFFF"/>
      <x:name val="Carlito"/>
    </x:font>
    <x:font>
      <x:b/>
      <x:sz val="11"/>
      <x:color rgb="FFFFFFFF"/>
      <x:name val="Carlito"/>
    </x:font>
    <x:font>
      <x:sz val="9"/>
      <x:color rgb="FF173247"/>
      <x:name val="Carlito"/>
    </x:font>
    <x:font>
      <x:b/>
      <x:sz val="17"/>
      <x:color rgb="FFFFFFFF"/>
      <x:name val="Carlito"/>
    </x:font>
    <x:font>
      <x:b/>
      <x:sz val="11"/>
      <x:color rgb="FF173F5B"/>
      <x:name val="Carlito"/>
    </x:font>
    <x:font>
      <x:b/>
      <x:sz val="15"/>
      <x:color rgb="FF173F5B"/>
      <x:name val="Carlito"/>
    </x:font>
    <x:font>
      <x:b/>
      <x:sz val="11"/>
      <x:color rgb="FF8A1C25"/>
      <x:name val="Carlito"/>
    </x:font>
    <x:font>
      <x:sz val="11"/>
      <x:color rgb="FF173247"/>
      <x:name val="Carlito"/>
    </x:font>
    <x:font>
      <x:b/>
      <x:sz val="11"/>
      <x:color rgb="FF7A5200"/>
      <x:name val="Carlito"/>
    </x:font>
  </x:fonts>
  <x:fills count="11">
    <x:fill>
      <x:patternFill patternType="none"/>
    </x:fill>
    <x:fill>
      <x:patternFill patternType="gray125"/>
    </x:fill>
    <x:fill>
      <x:patternFill patternType="solid">
        <x:fgColor rgb="FF173F5B"/>
      </x:patternFill>
    </x:fill>
    <x:fill>
      <x:patternFill patternType="solid">
        <x:fgColor rgb="FF2B7892"/>
      </x:patternFill>
    </x:fill>
    <x:fill>
      <x:patternFill patternType="solid">
        <x:fgColor rgb="FFD9EFF7"/>
      </x:patternFill>
    </x:fill>
    <x:fill>
      <x:patternFill patternType="solid">
        <x:fgColor rgb="FFEEF7FA"/>
      </x:patternFill>
    </x:fill>
    <x:fill>
      <x:patternFill patternType="solid">
        <x:fgColor rgb="FFE1F0DA"/>
      </x:patternFill>
    </x:fill>
    <x:fill>
      <x:patternFill patternType="solid">
        <x:fgColor rgb="FFFFF1C7"/>
      </x:patternFill>
    </x:fill>
    <x:fill>
      <x:patternFill patternType="solid">
        <x:fgColor rgb="FFE8E8E8"/>
      </x:patternFill>
    </x:fill>
    <x:fill>
      <x:patternFill patternType="solid">
        <x:fgColor rgb="FFF8D7DA"/>
      </x:patternFill>
    </x:fill>
    <x:fill>
      <x:patternFill patternType="solid">
        <x:fgColor rgb="FFFFFFFF"/>
      </x:patternFill>
    </x:fill>
  </x:fills>
  <x:borders count="4">
    <x:border/>
    <x:border>
      <x:bottom style="thin">
        <x:color rgb="FFB8CDD7"/>
      </x:bottom>
    </x:border>
    <x:border>
      <x:top style="thin">
        <x:color rgb="FFB8CDD7"/>
      </x:top>
      <x:bottom style="thin">
        <x:color rgb="FFB8CDD7"/>
      </x:bottom>
    </x:border>
    <x:border>
      <x:top style="thin">
        <x:color rgb="FFB8CDD7"/>
      </x:top>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1" xfId="0" applyNumberFormat="1" applyFont="1" applyFill="1" applyBorder="1" applyAlignment="1">
      <x:alignment wrapText="1"/>
    </x:xf>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3" fillId="4" borderId="2" xfId="0" applyNumberFormat="1" applyFont="1" applyFill="1" applyBorder="1" applyAlignment="1">
      <x:alignment vertical="top" wrapText="1"/>
    </x:xf>
    <x:xf numFmtId="200" fontId="3" fillId="4" borderId="1" xfId="0" applyNumberFormat="1" applyFont="1" applyFill="1" applyBorder="1" applyAlignment="1">
      <x:alignment vertical="top" wrapText="1"/>
    </x:xf>
    <x:xf numFmtId="200" fontId="3" fillId="0" borderId="2" xfId="0" applyNumberFormat="1" applyFont="1" applyFill="1" applyBorder="1" applyAlignment="1">
      <x:alignment vertical="top" wrapText="1"/>
    </x:xf>
    <x:xf numFmtId="200" fontId="3" fillId="4" borderId="2" xfId="0" applyNumberFormat="1" applyFont="1" applyFill="1" applyBorder="1" applyAlignment="1">
      <x:alignment vertical="top" wrapText="1"/>
    </x:xf>
    <x:xf numFmtId="200" fontId="3" fillId="0" borderId="3" xfId="0" applyNumberFormat="1" applyFont="1" applyFill="1" applyBorder="1" applyAlignment="1">
      <x:alignment vertical="top" wrapText="1"/>
    </x:xf>
    <x:xf numFmtId="201" fontId="3" fillId="4" borderId="1" xfId="0" applyNumberFormat="1" applyFont="1" applyFill="1" applyBorder="1" applyAlignment="1">
      <x:alignment vertical="top" wrapText="1"/>
    </x:xf>
    <x:xf numFmtId="201" fontId="3" fillId="0" borderId="2" xfId="0" applyNumberFormat="1" applyFont="1" applyFill="1" applyBorder="1" applyAlignment="1">
      <x:alignment vertical="top" wrapText="1"/>
    </x:xf>
    <x:xf numFmtId="201" fontId="3" fillId="4" borderId="2" xfId="0" applyNumberFormat="1" applyFont="1" applyFill="1" applyBorder="1" applyAlignment="1">
      <x:alignment vertical="top" wrapText="1"/>
    </x:xf>
    <x:xf numFmtId="201" fontId="3" fillId="0" borderId="3" xfId="0" applyNumberFormat="1" applyFont="1" applyFill="1" applyBorder="1" applyAlignment="1">
      <x:alignment vertical="top" wrapText="1"/>
    </x:xf>
    <x:xf numFmtId="200" fontId="3" fillId="4" borderId="3"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2" fillId="3" borderId="0" xfId="0" applyNumberFormat="1" applyFont="1" applyFill="1" applyBorder="1" applyAlignment="1">
      <x:alignment horizont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6" fillId="5" borderId="0" xfId="0" applyNumberFormat="1" applyFont="1" applyFill="1" applyBorder="1"/>
    <x:xf numFmtId="0" fontId="6" fillId="5" borderId="0"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center" wrapText="1"/>
    </x:xf>
    <x:xf numFmtId="0" fontId="8" fillId="5" borderId="0" xfId="0" applyNumberFormat="1" applyFont="1" applyFill="1" applyBorder="1"/>
    <x:xf numFmtId="0" fontId="8" fillId="5" borderId="0" xfId="0" applyNumberFormat="1" applyFont="1" applyFill="1" applyBorder="1" applyAlignment="1">
      <x:alignment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9" fillId="7" borderId="0" xfId="0" applyNumberFormat="1" applyFont="1" applyFill="1" applyBorder="1"/>
    <x:xf numFmtId="0" fontId="9" fillId="7" borderId="0" xfId="0" applyNumberFormat="1" applyFont="1" applyFill="1" applyBorder="1" applyAlignment="1">
      <x:alignment wrapText="1"/>
    </x:xf>
  </x:cellXfs>
  <x:cellStyles count="1">
    <x:cellStyle name="Normal" xfId="0"/>
  </x:cellStyles>
  <x:dxfs count="96">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
      <x:font>
        <x:b/>
        <x:color rgb="FF285B2A"/>
      </x:font>
      <x:fill>
        <x:patternFill patternType="solid">
          <x:bgColor rgb="FFE1F0DA"/>
        </x:patternFill>
      </x:fill>
    </x:dxf>
    <x:dxf>
      <x:font>
        <x:b/>
        <x:color rgb="FF285B2A"/>
      </x:font>
      <x:fill>
        <x:patternFill patternType="solid">
          <x:bgColor rgb="FFE1F0DA"/>
        </x:patternFill>
      </x:fill>
    </x:dxf>
    <x:dxf>
      <x:font>
        <x:b/>
        <x:color rgb="FF815900"/>
      </x:font>
      <x:fill>
        <x:patternFill patternType="solid">
          <x:bgColor rgb="FFFFF1C7"/>
        </x:patternFill>
      </x:fill>
    </x:dxf>
    <x:dxf>
      <x:font>
        <x:color rgb="FF815900"/>
      </x:font>
      <x:fill>
        <x:patternFill patternType="solid">
          <x:bgColor rgb="FFFFF1C7"/>
        </x:patternFill>
      </x:fill>
    </x:dxf>
    <x:dxf>
      <x:font>
        <x:color rgb="FF555555"/>
      </x:font>
      <x:fill>
        <x:patternFill patternType="solid">
          <x:bgColor rgb="FFE8E8E8"/>
        </x:patternFill>
      </x:fill>
    </x:dxf>
    <x:dxf>
      <x:font>
        <x:b/>
        <x:color rgb="FF8A1C25"/>
      </x:font>
      <x:fill>
        <x:patternFill patternType="solid">
          <x:bgColor rgb="FFF8D7DA"/>
        </x:patternFill>
      </x:fill>
    </x:dxf>
    <x:dxf>
      <x:font>
        <x:b/>
        <x:color rgb="FF815900"/>
      </x:font>
      <x:fill>
        <x:patternFill patternType="solid">
          <x:bgColor rgb="FFFFF1C7"/>
        </x:patternFill>
      </x:fill>
    </x:dxf>
    <x:dxf>
      <x:font>
        <x:b/>
        <x:color rgb="FF8A1C25"/>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09e0d2a9f040ab" /><Relationship Type="http://schemas.openxmlformats.org/officeDocument/2006/relationships/theme" Target="/xl/theme/theme1.xml" Id="R745f36cfe4eb4987" /><Relationship Type="http://schemas.openxmlformats.org/officeDocument/2006/relationships/sharedStrings" Target="/xl/sharedStrings.xml" Id="Ra846a7ff88f24714" /><Relationship Type="http://schemas.openxmlformats.org/officeDocument/2006/relationships/worksheet" Target="/xl/worksheets/sheet1.xml" Id="R6d63987e8e6140d1" /><Relationship Type="http://schemas.openxmlformats.org/officeDocument/2006/relationships/worksheet" Target="/xl/worksheets/sheet2.xml" Id="R228e0e5a6ce244cf" /><Relationship Type="http://schemas.openxmlformats.org/officeDocument/2006/relationships/worksheet" Target="/xl/worksheets/sheet3.xml" Id="R6033cb5a880e4502" /><Relationship Type="http://schemas.openxmlformats.org/officeDocument/2006/relationships/worksheet" Target="/xl/worksheets/sheet4.xml" Id="R6f78a90ad59a4d12" /><Relationship Type="http://schemas.openxmlformats.org/officeDocument/2006/relationships/worksheet" Target="/xl/worksheets/sheet5.xml" Id="R26dc31b1ddee474a" /><Relationship Type="http://schemas.openxmlformats.org/officeDocument/2006/relationships/worksheet" Target="/xl/worksheets/sheet6.xml" Id="Rf5f7a57f63c6412e" /><Relationship Type="http://schemas.openxmlformats.org/officeDocument/2006/relationships/worksheet" Target="/xl/worksheets/sheet7.xml" Id="Rb2fac91a90c145b8" /><Relationship Type="http://schemas.openxmlformats.org/officeDocument/2006/relationships/worksheet" Target="/xl/worksheets/sheet8.xml" Id="R801e210bd95e4f4d" /><Relationship Type="http://schemas.openxmlformats.org/officeDocument/2006/relationships/worksheet" Target="/xl/worksheets/sheet9.xml" Id="Rd3137dccf77d47c9" /><Relationship Type="http://schemas.openxmlformats.org/officeDocument/2006/relationships/worksheet" Target="/xl/worksheets/sheet10.xml" Id="R2e76c5180f6b4545" /><Relationship Type="http://schemas.openxmlformats.org/officeDocument/2006/relationships/worksheet" Target="/xl/worksheets/sheet11.xml" Id="R085290847c1d4229" /></Relationships>
</file>

<file path=xl/tables/table1.xml><?xml version="1.0" encoding="utf-8"?>
<x:table xmlns:x="http://schemas.openxmlformats.org/spreadsheetml/2006/main" id="2" name="ReleaseHoldsTable" displayName="ReleaseHoldsTable" ref="A3:D24" headerRowCount="1" totalsRowCount="0" totalsRowShown="0">
  <x:autoFilter ref="A3:D24"/>
  <x:tableColumns count="4">
    <x:tableColumn id="1" name="Check ID"/>
    <x:tableColumn id="2" name="Status"/>
    <x:tableColumn id="3" name="Finding"/>
    <x:tableColumn id="4" name="Required action"/>
  </x:tableColumns>
  <x:tableStyleInfo name="TableStyleMedium2" showFirstColumn="0" showLastColumn="0" showRowStripes="0" showColumnStripes="0"/>
</x:table>
</file>

<file path=xl/tables/table2.xml><?xml version="1.0" encoding="utf-8"?>
<x:table xmlns:x="http://schemas.openxmlformats.org/spreadsheetml/2006/main" id="1" name="RoutesTable" displayName="RoutesTable" ref="A3:D6" headerRowCount="1" totalsRowCount="0" totalsRowShown="0">
  <x:autoFilter ref="A3:D6"/>
  <x:tableColumns count="4">
    <x:tableColumn id="1" name="Route ID"/>
    <x:tableColumn id="2" name="Selected"/>
    <x:tableColumn id="3" name="What it enables"/>
    <x:tableColumn id="4" name="Decision"/>
  </x:tableColumns>
  <x:tableStyleInfo name="TableStyleMedium2" showFirstColumn="0" showLastColumn="0" showRowStripes="0" showColumnStripes="0"/>
</x:table>
</file>

<file path=xl/tables/table3.xml><?xml version="1.0" encoding="utf-8"?>
<x:table xmlns:x="http://schemas.openxmlformats.org/spreadsheetml/2006/main" id="3" name="CompatibilityGatesTable" displayName="CompatibilityGatesTable" ref="A3:J87" headerRowCount="1" totalsRowCount="0" totalsRowShown="0">
  <x:autoFilter ref="A3:J87"/>
  <x:tableColumns count="10">
    <x:tableColumn id="1" name="Gate ID"/>
    <x:tableColumn id="2" name="Category"/>
    <x:tableColumn id="3" name="Status"/>
    <x:tableColumn id="4" name="Process profile"/>
    <x:tableColumn id="5" name="Material"/>
    <x:tableColumn id="6" name="Nozzle mm"/>
    <x:tableColumn id="7" name="Revision"/>
    <x:tableColumn id="8" name="Recorded values"/>
    <x:tableColumn id="9" name="Nominal values"/>
    <x:tableColumn id="10" name="Required evidence"/>
  </x:tableColumns>
  <x:tableStyleInfo name="TableStyleMedium2" showFirstColumn="0" showLastColumn="0" showRowStripes="0" showColumnStripes="0"/>
</x:table>
</file>

<file path=xl/tables/table4.xml><?xml version="1.0" encoding="utf-8"?>
<x:table xmlns:x="http://schemas.openxmlformats.org/spreadsheetml/2006/main" id="4" name="JobGateMapTable" displayName="JobGateMapTable" ref="A3:F190" headerRowCount="1" totalsRowCount="0" totalsRowShown="0">
  <x:autoFilter ref="A3:F190"/>
  <x:tableColumns count="6">
    <x:tableColumn id="1" name="Job"/>
    <x:tableColumn id="2" name="Plate"/>
    <x:tableColumn id="3" name="Gate ID"/>
    <x:tableColumn id="4" name="Current status"/>
    <x:tableColumn id="5" name="Category"/>
    <x:tableColumn id="6" name="Gate profile"/>
  </x:tableColumns>
  <x:tableStyleInfo name="TableStyleMedium2" showFirstColumn="0" showLastColumn="0" showRowStripes="0" showColumnStripes="0"/>
</x:table>
</file>

<file path=xl/tables/table5.xml><?xml version="1.0" encoding="utf-8"?>
<x:table xmlns:x="http://schemas.openxmlformats.org/spreadsheetml/2006/main" id="5" name="PrintQueueTable" displayName="PrintQueueTable" ref="A3:S27" headerRowCount="1" totalsRowCount="0" totalsRowShown="0">
  <x:autoFilter ref="A3:S27"/>
  <x:tableColumns count="19">
    <x:tableColumn id="1" name="Job"/>
    <x:tableColumn id="2" name="Stage"/>
    <x:tableColumn id="3" name="Selection"/>
    <x:tableColumn id="4" name="Selected?"/>
    <x:tableColumn id="5" name="Status"/>
    <x:tableColumn id="6" name="Profile"/>
    <x:tableColumn id="7" name="Material"/>
    <x:tableColumn id="8" name="Layer mm"/>
    <x:tableColumn id="9" name="Plate"/>
    <x:tableColumn id="10" name="Objects"/>
    <x:tableColumn id="11" name="Missing gates"/>
    <x:tableColumn id="12" name="Missing gate IDs"/>
    <x:tableColumn id="13" name="Purpose"/>
    <x:tableColumn id="14" name="Lifecycle"/>
    <x:tableColumn id="15" name="Kit"/>
    <x:tableColumn id="16" name="Filament preset"/>
    <x:tableColumn id="17" name="Preset status"/>
    <x:tableColumn id="18" name="Readable settings"/>
    <x:tableColumn id="19" name="QIDI process file"/>
  </x:tableColumns>
  <x:tableStyleInfo name="TableStyleMedium2" showFirstColumn="0" showLastColumn="0" showRowStripes="0" showColumnStripes="0"/>
</x:table>
</file>

<file path=xl/tables/table6.xml><?xml version="1.0" encoding="utf-8"?>
<x:table xmlns:x="http://schemas.openxmlformats.org/spreadsheetml/2006/main" id="6" name="ProfilesTable" displayName="ProfilesTable" ref="A3:R13" headerRowCount="1" totalsRowCount="0" totalsRowShown="0">
  <x:autoFilter ref="A3:R13"/>
  <x:tableColumns count="18">
    <x:tableColumn id="1" name="Profile"/>
    <x:tableColumn id="2" name="Material"/>
    <x:tableColumn id="3" name="Nozzle"/>
    <x:tableColumn id="4" name="Layer"/>
    <x:tableColumn id="5" name="Walls"/>
    <x:tableColumn id="6" name="Top"/>
    <x:tableColumn id="7" name="Bottom"/>
    <x:tableColumn id="8" name="Infill %"/>
    <x:tableColumn id="9" name="Pattern"/>
    <x:tableColumn id="10" name="Supports"/>
    <x:tableColumn id="11" name="Purpose"/>
    <x:tableColumn id="12" name="Bed adhesion"/>
    <x:tableColumn id="13" name="Dimensional controls"/>
    <x:tableColumn id="14" name="Filament preset"/>
    <x:tableColumn id="15" name="Preset status"/>
    <x:tableColumn id="16" name="QIDI base process"/>
    <x:tableColumn id="17" name="QIDI import name"/>
    <x:tableColumn id="18" name="QIDI process file"/>
  </x:tableColumns>
  <x:tableStyleInfo name="TableStyleMedium2" showFirstColumn="0" showLastColumn="0" showRowStripes="0" showColumnStripes="0"/>
</x:table>
</file>

<file path=xl/tables/table7.xml><?xml version="1.0" encoding="utf-8"?>
<x:table xmlns:x="http://schemas.openxmlformats.org/spreadsheetml/2006/main" id="7" name="PartMapTable" displayName="PartMapTable" ref="A3:L43" headerRowCount="1" totalsRowCount="0" totalsRowShown="0">
  <x:autoFilter ref="A3:L43"/>
  <x:tableColumns count="12">
    <x:tableColumn id="1" name="Part file"/>
    <x:tableColumn id="2" name="Qty"/>
    <x:tableColumn id="3" name="Job"/>
    <x:tableColumn id="4" name="Stage"/>
    <x:tableColumn id="5" name="Selection"/>
    <x:tableColumn id="6" name="Profile"/>
    <x:tableColumn id="7" name="Material"/>
    <x:tableColumn id="8" name="Plate"/>
    <x:tableColumn id="9" name="Envelope mm"/>
    <x:tableColumn id="10" name="Volume cm3"/>
    <x:tableColumn id="11" name="Mesh QA"/>
    <x:tableColumn id="12" name="Purpose"/>
  </x:tableColumns>
  <x:tableStyleInfo name="TableStyleMedium2" showFirstColumn="0" showLastColumn="0" showRowStripes="0" showColumnStripes="0"/>
</x:table>
</file>

<file path=xl/tables/table8.xml><?xml version="1.0" encoding="utf-8"?>
<x:table xmlns:x="http://schemas.openxmlformats.org/spreadsheetml/2006/main" id="8" name="BoardLayoutTable" displayName="BoardLayoutTable" ref="A3:I22" headerRowCount="1" totalsRowCount="0" totalsRowShown="0">
  <x:autoFilter ref="A3:I22"/>
  <x:tableColumns count="9">
    <x:tableColumn id="1" name="Record type"/>
    <x:tableColumn id="2" name="ID"/>
    <x:tableColumn id="3" name="Kind / role"/>
    <x:tableColumn id="4" name="Owner / mount"/>
    <x:tableColumn id="5" name="X mm"/>
    <x:tableColumn id="6" name="Y mm"/>
    <x:tableColumn id="7" name="Nominal feature / edge mm"/>
    <x:tableColumn id="8" name="Depth / Z mm"/>
    <x:tableColumn id="9" name="Instruction"/>
  </x:tableColumns>
  <x:tableStyleInfo name="TableStyleMedium2" showFirstColumn="0" showLastColumn="0" showRowStripes="0" showColumnStripes="0"/>
</x:table>
</file>

<file path=xl/tables/table9.xml><?xml version="1.0" encoding="utf-8"?>
<x:table xmlns:x="http://schemas.openxmlformats.org/spreadsheetml/2006/main" id="9" name="JobKitsTable" displayName="JobKitsTable" ref="A3:M27" headerRowCount="1" totalsRowCount="0" totalsRowShown="0">
  <x:autoFilter ref="A3:M27"/>
  <x:tableColumns count="13">
    <x:tableColumn id="1" name="Job"/>
    <x:tableColumn id="2" name="Kit"/>
    <x:tableColumn id="3" name="Module"/>
    <x:tableColumn id="4" name="Route"/>
    <x:tableColumn id="5" name="Stage"/>
    <x:tableColumn id="6" name="Printed contents"/>
    <x:tableColumn id="7" name="Hardware / consumables"/>
    <x:tableColumn id="8" name="Acceptance signoff"/>
    <x:tableColumn id="9" name="Kit status"/>
    <x:tableColumn id="10" name="QA status"/>
    <x:tableColumn id="11" name="Storage label"/>
    <x:tableColumn id="12" name="Print material"/>
    <x:tableColumn id="13" name="Process profile"/>
  </x:tableColumns>
  <x:tableStyleInfo name="TableStyleMedium2" showFirstColumn="0" showLastColumn="0" showRowStripes="0" showColumnStripes="0"/>
</x:table>
</file>

<file path=xl/tables/table10.xml><?xml version="1.0" encoding="utf-8"?>
<x:table xmlns:x="http://schemas.openxmlformats.org/spreadsheetml/2006/main" id="10" name="BuildTrackerTable" displayName="BuildTrackerTable" ref="A3:I27" headerRowCount="1" totalsRowCount="0" totalsRowShown="0">
  <x:autoFilter ref="A3:I27"/>
  <x:tableColumns count="9">
    <x:tableColumn id="1" name="Job"/>
    <x:tableColumn id="2" name="Selected"/>
    <x:tableColumn id="3" name="Stage"/>
    <x:tableColumn id="4" name="Kit"/>
    <x:tableColumn id="5" name="Recorded state"/>
    <x:tableColumn id="6" name="Effective state"/>
    <x:tableColumn id="7" name="Missing prerequisites"/>
    <x:tableColumn id="8" name="Post-print gates"/>
    <x:tableColumn id="9" name="Assembly gates"/>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ced222b13eb41e5" /></Relationships>
</file>

<file path=xl/worksheets/_rels/sheet3.xml.rels>&#65279;<?xml version="1.0" encoding="utf-8"?><Relationships xmlns="http://schemas.openxmlformats.org/package/2006/relationships"><Relationship Type="http://schemas.openxmlformats.org/officeDocument/2006/relationships/table" Target="/xl/tables/table2.xml" Id="R8c1e5184ac7040b7" /></Relationships>
</file>

<file path=xl/worksheets/_rels/sheet4.xml.rels>&#65279;<?xml version="1.0" encoding="utf-8"?><Relationships xmlns="http://schemas.openxmlformats.org/package/2006/relationships"><Relationship Type="http://schemas.openxmlformats.org/officeDocument/2006/relationships/table" Target="/xl/tables/table3.xml" Id="R48a894889c6342d5" /></Relationships>
</file>

<file path=xl/worksheets/_rels/sheet5.xml.rels>&#65279;<?xml version="1.0" encoding="utf-8"?><Relationships xmlns="http://schemas.openxmlformats.org/package/2006/relationships"><Relationship Type="http://schemas.openxmlformats.org/officeDocument/2006/relationships/table" Target="/xl/tables/table4.xml" Id="R17d5cda45e5a47a7" /></Relationships>
</file>

<file path=xl/worksheets/_rels/sheet6.xml.rels>&#65279;<?xml version="1.0" encoding="utf-8"?><Relationships xmlns="http://schemas.openxmlformats.org/package/2006/relationships"><Relationship Type="http://schemas.openxmlformats.org/officeDocument/2006/relationships/table" Target="/xl/tables/table5.xml" Id="R72eed725e3064090" /></Relationships>
</file>

<file path=xl/worksheets/_rels/sheet7.xml.rels>&#65279;<?xml version="1.0" encoding="utf-8"?><Relationships xmlns="http://schemas.openxmlformats.org/package/2006/relationships"><Relationship Type="http://schemas.openxmlformats.org/officeDocument/2006/relationships/table" Target="/xl/tables/table6.xml" Id="R22bf50dc6c244d4b" /></Relationships>
</file>

<file path=xl/worksheets/_rels/sheet8.xml.rels>&#65279;<?xml version="1.0" encoding="utf-8"?><Relationships xmlns="http://schemas.openxmlformats.org/package/2006/relationships"><Relationship Type="http://schemas.openxmlformats.org/officeDocument/2006/relationships/table" Target="/xl/tables/table7.xml" Id="Rd8493d1377a34401" /></Relationships>
</file>

<file path=xl/worksheets/_rels/sheet9.xml.rels>&#65279;<?xml version="1.0" encoding="utf-8"?><Relationships xmlns="http://schemas.openxmlformats.org/package/2006/relationships"><Relationship Type="http://schemas.openxmlformats.org/officeDocument/2006/relationships/table" Target="/xl/tables/table8.xml" Id="Rbcf65b72f30b457c" /></Relationships>
</file>

<file path=xl/worksheets/_rels/sheet10.xml.rels>&#65279;<?xml version="1.0" encoding="utf-8"?><Relationships xmlns="http://schemas.openxmlformats.org/package/2006/relationships"><Relationship Type="http://schemas.openxmlformats.org/officeDocument/2006/relationships/table" Target="/xl/tables/table9.xml" Id="R01be21ff7f864f0a" /></Relationships>
</file>

<file path=xl/worksheets/_rels/sheet11.xml.rels>&#65279;<?xml version="1.0" encoding="utf-8"?><Relationships xmlns="http://schemas.openxmlformats.org/package/2006/relationships"><Relationship Type="http://schemas.openxmlformats.org/officeDocument/2006/relationships/table" Target="/xl/tables/table10.xml" Id="R20ad465e2a13434f"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32" customHeight="1">
      <x:c r="A1" s="31" t="str">
        <x:v>QIDI Plus4 ABS-Heavy Integrated Print Compatibility Workbook</x:v>
      </x:c>
      <x:c r="B1" s="31"/>
      <x:c r="C1" s="31"/>
      <x:c r="D1" s="31"/>
      <x:c r="E1" s="31"/>
      <x:c r="F1" s="31"/>
      <x:c r="G1" s="31"/>
      <x:c r="H1" s="31"/>
    </x:row>
    <x:row r="3">
      <x:c r="A3" s="34" t="str">
        <x:v>Controlled release RC03-INT-R1 | 32 configured printable STLs | 24 jobs | selected: 13 ABS primary, 3 PETG, 4 TPU | inactive camera fallback: 4 jobs (1 PETG + 3 ASA) | protected 295 x 295 x 275 mm Plus4 envelope</x:v>
      </x:c>
      <x:c r="B3" s="34"/>
      <x:c r="C3" s="34"/>
      <x:c r="D3" s="34"/>
      <x:c r="E3" s="34"/>
      <x:c r="F3" s="34"/>
      <x:c r="G3" s="34"/>
      <x:c r="H3" s="34"/>
    </x:row>
    <x:row r="5">
      <x:c r="A5" s="35" t="str">
        <x:v>READY</x:v>
      </x:c>
      <x:c r="B5" s="35"/>
      <x:c r="C5" s="35" t="str">
        <x:v>WAITING</x:v>
      </x:c>
      <x:c r="D5" s="35"/>
      <x:c r="E5" s="35" t="str">
        <x:v>NOT SELECTED</x:v>
      </x:c>
      <x:c r="F5" s="35"/>
      <x:c r="G5" s="35" t="str">
        <x:v>TOTAL JOBS</x:v>
      </x:c>
      <x:c r="H5" s="35"/>
    </x:row>
    <x:row r="6">
      <x:c r="A6" s="38" t="n">
        <x:f>COUNTIF('Print Queue'!$E$4:$E$27,"READY")</x:f>
        <x:v>5</x:v>
      </x:c>
      <x:c r="B6" s="38"/>
      <x:c r="C6" s="41" t="n">
        <x:f>COUNTIF('Print Queue'!$E$4:$E$27,"WAITING")</x:f>
        <x:v>15</x:v>
      </x:c>
      <x:c r="D6" s="41"/>
      <x:c r="E6" s="44" t="n">
        <x:f>COUNTIF('Print Queue'!$E$4:$E$27,"NOT_SELECTED")</x:f>
        <x:v>4</x:v>
      </x:c>
      <x:c r="F6" s="44"/>
      <x:c r="G6" s="46" t="n">
        <x:f>COUNTA('Print Queue'!$A$4:$A$27)</x:f>
        <x:v>24</x:v>
      </x:c>
      <x:c r="H6" s="46"/>
    </x:row>
    <x:row r="8">
      <x:c r="A8" s="48" t="str">
        <x:v>PREHARDWARE: 9 digital pass | 2 engineering hold | 8 physical hold | 0 decision open</x:v>
      </x:c>
      <x:c r="B8" s="48"/>
      <x:c r="C8" s="48"/>
      <x:c r="D8" s="48"/>
      <x:c r="E8" s="48"/>
      <x:c r="F8" s="48"/>
      <x:c r="G8" s="48"/>
      <x:c r="H8" s="48"/>
    </x:row>
    <x:row r="9" ht="48" customHeight="1">
      <x:c r="A9" s="52" t="str">
        <x:v>CAMERA ARCHITECTURE HOLD: intended operational camera is arm-mounted / eye-in-hand. Current fixed 2020 mast files are fallback-only. Status ENGINEERING_ALIGNMENT_HOLD; gate fixed_camera_fallback_architecture_released hard-blocks jobs 03C3, 06, 07A, and 07B. Do not print an invented arm adapter, install a moving camera, or run vision-guided motion until the exact camera, carrying link/frame, mount, mass/COM, moving cable, calibration, visibility, reach, and collision requirements are controlled.</x:v>
      </x:c>
      <x:c r="B9" s="52"/>
      <x:c r="C9" s="52"/>
      <x:c r="D9" s="52"/>
      <x:c r="E9" s="52"/>
      <x:c r="F9" s="52"/>
      <x:c r="G9" s="52"/>
      <x:c r="H9" s="52"/>
    </x:row>
    <x:row r="10">
      <x:c r="A10" s="52"/>
      <x:c r="B10" s="52"/>
      <x:c r="C10" s="52"/>
      <x:c r="D10" s="52"/>
      <x:c r="E10" s="52"/>
      <x:c r="F10" s="52"/>
      <x:c r="G10" s="52"/>
      <x:c r="H10" s="52"/>
    </x:row>
    <x:row r="12">
      <x:c r="A12" s="5" t="str">
        <x:v>RC03 measured workflow</x:v>
      </x:c>
      <x:c r="B12" s="5"/>
      <x:c r="C12" s="5"/>
      <x:c r="D12" s="5"/>
      <x:c r="E12" s="5"/>
      <x:c r="F12" s="5"/>
      <x:c r="G12" s="5"/>
      <x:c r="H12" s="5"/>
    </x:row>
    <x:row r="13" ht="27" customHeight="1">
      <x:c r="A13" s="54" t="str">
        <x:v>1. Confirm the installed 0.4 mm nozzle. For ABS jobs, load the exact QIDI ABS Rapido filament preset and the job's matching QIDI process JSON. Before any PETG or TPU job, identify, dry, and qualify that exact spool; do not invent thermal values.</x:v>
      </x:c>
      <x:c r="B13" s="54"/>
      <x:c r="C13" s="54"/>
      <x:c r="D13" s="54"/>
      <x:c r="E13" s="54"/>
      <x:c r="F13" s="54"/>
      <x:c r="G13" s="54"/>
      <x:c r="H13" s="54"/>
    </x:row>
    <x:row r="14" ht="27" customHeight="1">
      <x:c r="A14" s="57" t="str">
        <x:v>2. Measure the board, pins, nuts, inserts, screws, keyboard, phone/case, cable, camera, arm clamp, gripper, spring, and selected tool route.</x:v>
      </x:c>
      <x:c r="B14" s="57"/>
      <x:c r="C14" s="57"/>
      <x:c r="D14" s="57"/>
      <x:c r="E14" s="57"/>
      <x:c r="F14" s="57"/>
      <x:c r="G14" s="57"/>
      <x:c r="H14" s="57"/>
    </x:row>
    <x:row r="15" ht="27" customHeight="1">
      <x:c r="A15" s="54" t="str">
        <x:v>3. Start with READY ABS diagnostics 00A, 00B, 00C, 00E, and 00F. Job 00D remains PETG and waits for exact-spool qualification. Job 00A qualifies the board locator gauge and retains the seam coupon; use the accepted master posts with that coupon before releasing the slave.</x:v>
      </x:c>
      <x:c r="B15" s="54"/>
      <x:c r="C15" s="54"/>
      <x:c r="D15" s="54"/>
      <x:c r="E15" s="54"/>
      <x:c r="F15" s="54"/>
      <x:c r="G15" s="54"/>
      <x:c r="H15" s="54"/>
    </x:row>
    <x:row r="16" ht="27" customHeight="1">
      <x:c r="A16" s="57" t="str">
        <x:v>4. Record evidence; feed every selected value into parameters, regenerate, and require geometry_matches_measurements.</x:v>
      </x:c>
      <x:c r="B16" s="57"/>
      <x:c r="C16" s="57"/>
      <x:c r="D16" s="57"/>
      <x:c r="E16" s="57"/>
      <x:c r="F16" s="57"/>
      <x:c r="G16" s="57"/>
      <x:c r="H16" s="57"/>
    </x:row>
    <x:row r="17" ht="27" customHeight="1">
      <x:c r="A17" s="54" t="str">
        <x:v>5. Print/accept the keyboard master before the slave, then the phone/TCP station, replaceable rail, setup tool, and two datum cartridges.</x:v>
      </x:c>
      <x:c r="B17" s="54"/>
      <x:c r="C17" s="54"/>
      <x:c r="D17" s="54"/>
      <x:c r="E17" s="54"/>
      <x:c r="F17" s="54"/>
      <x:c r="G17" s="54"/>
      <x:c r="H17" s="54"/>
    </x:row>
    <x:row r="18" ht="27" customHeight="1">
      <x:c r="A18" s="57" t="str">
        <x:v>6. Finish the purchased rectangular board, verify the 1:1 template scale, and hand-drill blind locator/threaded-interface features with positive depth control. No router or CNC.</x:v>
      </x:c>
      <x:c r="B18" s="57"/>
      <x:c r="C18" s="57"/>
      <x:c r="D18" s="57"/>
      <x:c r="E18" s="57"/>
      <x:c r="F18" s="57"/>
      <x:c r="G18" s="57"/>
      <x:c r="H18" s="57"/>
    </x:row>
    <x:row r="19" ht="27" customHeight="1">
      <x:c r="A19" s="54" t="str">
        <x:v>7. Apply six full-surface matte adhesive tags directly to the finished board; measure installed XY, yaw, and optical-plane Z.</x:v>
      </x:c>
      <x:c r="B19" s="54"/>
      <x:c r="C19" s="54"/>
      <x:c r="D19" s="54"/>
      <x:c r="E19" s="54"/>
      <x:c r="F19" s="54"/>
      <x:c r="G19" s="54"/>
      <x:c r="H19" s="54"/>
    </x:row>
    <x:row r="20" ht="27" customHeight="1">
      <x:c r="A20" s="57" t="str">
        <x:v>8. Complete ten-cycle station/device/cartridge repeatability, resolve the camera-architecture hold, perform the released route-specific calibration, and run empty-cell motion checks before device contact.</x:v>
      </x:c>
      <x:c r="B20" s="57"/>
      <x:c r="C20" s="57"/>
      <x:c r="D20" s="57"/>
      <x:c r="E20" s="57"/>
      <x:c r="F20" s="57"/>
      <x:c r="G20" s="57"/>
      <x:c r="H20" s="57"/>
    </x:row>
    <x:row r="22" ht="48" customHeight="1">
      <x:c r="A22" s="59" t="str">
        <x:v>Important: every plate has a same-name .PRINT_SETTINGS.md and .print.json; import the matching slicer_profiles/QIDI_PLUS4/*.process.json before slicing. JSON/CSV sources remain authoritative. Never transfer a fit result between profiles, globally scale a released part, enlarge a datum ad hoc, or bypass a physical gate because mesh validation passed.</x:v>
      </x:c>
      <x:c r="B22" s="59"/>
      <x:c r="C22" s="59"/>
      <x:c r="D22" s="59"/>
      <x:c r="E22" s="59"/>
      <x:c r="F22" s="59"/>
      <x:c r="G22" s="59"/>
      <x:c r="H22" s="59"/>
    </x:row>
  </x:sheetData>
  <x:mergeCells>
    <x:mergeCell ref="A1:H1"/>
    <x:mergeCell ref="A3:H3"/>
    <x:mergeCell ref="A5:B5"/>
    <x:mergeCell ref="A6:B6"/>
    <x:mergeCell ref="C5:D5"/>
    <x:mergeCell ref="C6:D6"/>
    <x:mergeCell ref="E5:F5"/>
    <x:mergeCell ref="E6:F6"/>
    <x:mergeCell ref="G5:H5"/>
    <x:mergeCell ref="G6:H6"/>
    <x:mergeCell ref="A8:H8"/>
    <x:mergeCell ref="A9:H10"/>
    <x:mergeCell ref="A12:H12"/>
    <x:mergeCell ref="A13:H13"/>
    <x:mergeCell ref="A14:H14"/>
    <x:mergeCell ref="A15:H15"/>
    <x:mergeCell ref="A16:H16"/>
    <x:mergeCell ref="A17:H17"/>
    <x:mergeCell ref="A18:H18"/>
    <x:mergeCell ref="A19:H19"/>
    <x:mergeCell ref="A20:H20"/>
    <x:mergeCell ref="A22: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22" hidden="0" customWidth="1"/>
    <x:col min="3" max="3" width="86" hidden="0" customWidth="1"/>
    <x:col min="4" max="4" width="92" hidden="0" customWidth="1"/>
  </x:cols>
  <x:sheetData>
    <x:row r="1" ht="30" customHeight="1">
      <x:c r="A1" s="3" t="str">
        <x:v>Prehardware Release State - DIGITALLY_CONSISTENT_ENGINEERING_AND_PHYSICAL_RELEASE_BLOCKED | digital consistency is not physical release</x:v>
      </x:c>
      <x:c r="B1" s="3"/>
      <x:c r="C1" s="3"/>
      <x:c r="D1" s="3"/>
    </x:row>
    <x:row r="3" ht="28" customHeight="1">
      <x:c r="A3" s="7" t="str">
        <x:v>Check ID</x:v>
      </x:c>
      <x:c r="B3" s="7" t="str">
        <x:v>Status</x:v>
      </x:c>
      <x:c r="C3" s="7" t="str">
        <x:v>Finding</x:v>
      </x:c>
      <x:c r="D3" s="7" t="str">
        <x:v>Required action</x:v>
      </x:c>
    </x:row>
    <x:row r="4">
      <x:c r="A4" s="18" t="str">
        <x:v>revision_consistency</x:v>
      </x:c>
      <x:c r="B4" s="18" t="str">
        <x:v>DIGITAL_PASS</x:v>
      </x:c>
      <x:c r="C4" s="18" t="str">
        <x:v>Controlled revisions found: ['RC03-INT-R1'].</x:v>
      </x:c>
      <x:c r="D4" s="18" t="str"/>
    </x:row>
    <x:row r="5">
      <x:c r="A5" s="16" t="str">
        <x:v>protected_envelope_sources</x:v>
      </x:c>
      <x:c r="B5" s="16" t="str">
        <x:v>DIGITAL_PASS</x:v>
      </x:c>
      <x:c r="C5" s="16" t="str">
        <x:v>CAD/layout/profile provisional envelope values are (295.0, 295.0, 275.0), (295.0, 295.0, 275.0), and (295.0, 295.0, 275.0) mm.</x:v>
      </x:c>
      <x:c r="D5" s="16" t="str"/>
    </x:row>
    <x:row r="6">
      <x:c r="A6" s="20" t="str">
        <x:v>printable_mesh_geometry</x:v>
      </x:c>
      <x:c r="B6" s="20" t="str">
        <x:v>DIGITAL_PASS</x:v>
      </x:c>
      <x:c r="C6" s="20" t="str">
        <x:v>32 printable STL rows checked against 32 configured unique parts; failures: none.</x:v>
      </x:c>
      <x:c r="D6" s="20" t="str"/>
    </x:row>
    <x:row r="7">
      <x:c r="A7" s="16" t="str">
        <x:v>configured_plate_envelopes</x:v>
      </x:c>
      <x:c r="B7" s="16" t="str">
        <x:v>DIGITAL_PASS</x:v>
      </x:c>
      <x:c r="C7" s="16" t="str">
        <x:v>24 configured plate envelopes checked against (295.0, 295.0, 275.0) mm; failures: none.</x:v>
      </x:c>
      <x:c r="D7" s="16" t="str"/>
    </x:row>
    <x:row r="8">
      <x:c r="A8" s="20" t="str">
        <x:v>physical_printer_envelope_interlock</x:v>
      </x:c>
      <x:c r="B8" s="20" t="str">
        <x:v>DIGITAL_PASS</x:v>
      </x:c>
      <x:c r="C8" s="20" t="str">
        <x:v>Every print job requires the actual-machine protected-envelope gate.</x:v>
      </x:c>
      <x:c r="D8" s="20" t="str"/>
    </x:row>
    <x:row r="9">
      <x:c r="A9" s="16" t="str">
        <x:v>station_board_bounds</x:v>
      </x:c>
      <x:c r="B9" s="16" t="str">
        <x:v>DIGITAL_PASS</x:v>
      </x:c>
      <x:c r="C9" s="16" t="str">
        <x:v>All three station envelopes remain on the 610 x 457 mm board: {'keyboard_left': {'left_mm': 80.0, 'front_mm': 72.0, 'right_mm': 345.5, 'rear_mm': 193.0}, 'keyboard_right': {'left_mm': 242.5, 'front_mm': 72.0, 'right_mm': 205.0, 'rear_mm': 193.0}, 'phone_tcp': {'left_mm': 411.0, 'front_mm': 80.0, 'right_mm': 12.7, 'rear_mm': 204.2}}.</x:v>
      </x:c>
      <x:c r="D9" s="16" t="str"/>
    </x:row>
    <x:row r="10">
      <x:c r="A10" s="20" t="str">
        <x:v>nominal_exact_solid_fit</x:v>
      </x:c>
      <x:c r="B10" s="20" t="str">
        <x:v>DIGITAL_PASS</x:v>
      </x:c>
      <x:c r="C10" s="20" t="str">
        <x:v>Exact-solid nominal fit report contains 26 checks and status PASS.</x:v>
      </x:c>
      <x:c r="D10" s="20" t="str"/>
    </x:row>
    <x:row r="11">
      <x:c r="A11" s="16" t="str">
        <x:v>robot_reach_kinematics</x:v>
      </x:c>
      <x:c r="B11" s="16" t="str">
        <x:v>ENGINEERING_HOLD</x:v>
      </x:c>
      <x:c r="C11" s="16" t="str">
        <x:v>Planar screening covers 5 points; its smallest nominal radial margin is 10.569 mm, but status is SCREENING_ONLY_NOT_PROVEN. This does not prove target Z/orientation, joint limits, singularities, payload, or collisions.</x:v>
      </x:c>
      <x:c r="D11" s="16" t="str">
        <x:v>Measure T_board_base and the exact tool TCP/mass, then prove every approach/contact/retreat pose by IK and collision analysis before reduced-speed empty-cell motion.</x:v>
      </x:c>
    </x:row>
    <x:row r="12">
      <x:c r="A12" s="20" t="str">
        <x:v>camera_architecture_alignment</x:v>
      </x:c>
      <x:c r="B12" s="20" t="str">
        <x:v>ENGINEERING_HOLD</x:v>
      </x:c>
      <x:c r="C12" s="20" t="str">
        <x:v>User intent is an arm-mounted operational camera, while the current RC03 Step 13 and selected mast route are fixed eye-to-hand controls. Decision status is ENGINEERING_ALIGNMENT_HOLD; exact arm-camera specification reference is None.</x:v>
      </x:c>
      <x:c r="D12" s="20" t="str">
        <x:v>Control the exact arm-camera specification, carrier frame, mount, mass/COM, moving cable, eye-in-hand calibration, pose visibility/timing, payload, reach, and collisions; then revise every affected artifact before printing or installation.</x:v>
      </x:c>
    </x:row>
    <x:row r="13">
      <x:c r="A13" s="16" t="str">
        <x:v>named_board_interface_architecture</x:v>
      </x:c>
      <x:c r="B13" s="16" t="str">
        <x:v>DIGITAL_PASS</x:v>
      </x:c>
      <x:c r="C13" s="16" t="str">
        <x:v>Board has 4 blind locators and 9 threaded-retention centers. Minimum center-to-board-edge distance is 21.20 mm at PT-HOLD-R1.</x:v>
      </x:c>
      <x:c r="D13" s="16" t="str"/>
    </x:row>
    <x:row r="14">
      <x:c r="A14" s="20" t="str">
        <x:v>locator_blind_floor_tolerance_stack</x:v>
      </x:c>
      <x:c r="B14" s="20" t="str">
        <x:v>DIGITAL_PASS</x:v>
      </x:c>
      <x:c r="C14" s="20" t="str">
        <x:v>Worst released board/depth stack leaves 2.30 mm of intact board versus the 2.00 mm minimum.</x:v>
      </x:c>
      <x:c r="D14" s="20" t="str"/>
    </x:row>
    <x:row r="15">
      <x:c r="A15" s="16" t="str">
        <x:v>board_fastener_release</x:v>
      </x:c>
      <x:c r="B15" s="16" t="str">
        <x:v>PHYSICAL_HOLD</x:v>
      </x:c>
      <x:c r="C15" s="16" t="str">
        <x:v>9 of 9 board fastener stacks remain unresolved.</x:v>
      </x:c>
      <x:c r="D15" s="16" t="str">
        <x:v>Select one exact anchor system and complete all nine rows from matching 18 mm scrap-board tests.</x:v>
      </x:c>
    </x:row>
    <x:row r="16">
      <x:c r="A16" s="20" t="str">
        <x:v>actual_printer_clearance</x:v>
      </x:c>
      <x:c r="B16" s="20" t="str">
        <x:v>PHYSICAL_PASS_RECORDED</x:v>
      </x:c>
      <x:c r="C16" s="20" t="str">
        <x:v>plus4_protected_envelope_verified is PASS.</x:v>
      </x:c>
      <x:c r="D16" s="20" t="str"/>
    </x:row>
    <x:row r="17">
      <x:c r="A17" s="16" t="str">
        <x:v>print_process_qualification</x:v>
      </x:c>
      <x:c r="B17" s="16" t="str">
        <x:v>PHYSICAL_HOLD</x:v>
      </x:c>
      <x:c r="C17" s="16" t="str">
        <x:v>Gate state: {'nozzle_0p4_confirmed': 'PASS', 'abs_rapido_general_profile_calibrated': 'PASS', 'abs_rapido_tray_profile_calibrated': 'PASS', 'abs_rapido_cradle_profile_calibrated': 'PASS', 'abs_rapido_precision_profile_calibrated': 'PASS', 'petg_adapter_profile_calibrated': 'NOT_TESTED', 'abs_rapido_calibration_profile_calibrated': 'PASS', 'tpu_profile_calibrated': 'NOT_TESTED', 'qidi_studio_roundtrip_confirmed': 'NOT_TESTED'}.</x:v>
      </x:c>
      <x:c r="D17" s="16" t="str">
        <x:v>Physically confirm the nozzle; qualify the exact QIDI ABS Rapido, retained PETG adapter, and TPU lots against their assigned profiles; and complete the native QIDI Studio round trip for every active job.</x:v>
      </x:c>
    </x:row>
    <x:row r="18">
      <x:c r="A18" s="20" t="str">
        <x:v>reference_hardware_measurements</x:v>
      </x:c>
      <x:c r="B18" s="20" t="str">
        <x:v>PHYSICAL_HOLD</x:v>
      </x:c>
      <x:c r="C18" s="20" t="str">
        <x:v>Gate state: {'keyboard_dimensions_measured': 'NOT_TESTED', 'phone_dimensions_measured': 'NOT_TESTED', 'phone_side_features_measured': 'NOT_TESTED', 'phone_cable_measured': 'NOT_TESTED', 'gripper_interface_measured': 'NOT_TESTED', 'spring_dimensions_measured': 'NOT_TESTED', 'camera_mount_interface_measured': 'NOT_TESTED'}.</x:v>
      </x:c>
      <x:c r="D18" s="20" t="str">
        <x:v>Measure the exact reference devices, cable, gripper, spring, and camera; regenerate affected geometry from accepted values.</x:v>
      </x:c>
    </x:row>
    <x:row r="19">
      <x:c r="A19" s="16" t="str">
        <x:v>printed_interface_qualification</x:v>
      </x:c>
      <x:c r="B19" s="16" t="str">
        <x:v>PHYSICAL_HOLD</x:v>
      </x:c>
      <x:c r="C19" s="16" t="str">
        <x:v>Gate state: {'keyboard_corner_coupon_pass': 'NOT_TESTED', 'keyboard_seam_coupon_pass': 'NOT_TESTED', 'tray_clearance_holes_coupon_pass': 'NOT_TESTED', 'keyboard_station_registration_coupon_pass': 'NOT_TESTED', 'phone_station_registration_coupon_pass': 'NOT_TESTED', 'phone_station_m3_insert_coupon_pass': 'NOT_TESTED', 'general_clearance_holes_coupon_pass': 'NOT_TESTED', 'calibration_clearance_holes_coupon_pass': 'NOT_TESTED', 'setup_hardware_coupon_pass': 'NOT_TESTED', 'cradle_m4_washer_coupon_pass': 'NOT_TESTED', 'precision_m3_head_coupon_pass': 'NOT_TESTED', 'phone_width_coupon_pass': 'NOT_TESTED', 'phone_m4_captive_nut_coupon_pass': 'NOT_TESTED', 'cable_tie_saddle_coupon_pass': 'NOT_TESTED', 'compliant_tool_m3_insert_coupon_pass': 'NOT_TESTED', 'gripper_coupon_pass': 'NOT_TESTED', 'spring_fit_coupon_pass': 'NOT_TESTED', 'stylus_gauge_coupon_pass': 'NOT_TESTED', 'phone_tpu_retention_coupon_pass': 'NOT_TESTED', 'keyboard_tpu_retention_coupon_pass': 'NOT_TESTED', 'tag_artwork_scale_pass': 'NOT_TESTED', 'board_setup_template_scale_pass': 'NOT_TESTED', 'phone_clamp_rail_first_article_pass': 'NOT_TESTED', 'keyboard_left_first_article_pass': 'NOT_TESTED', 'keyboard_station_pair_postprint_pass': 'NOT_TESTED', 'keyboard_clamps_postprint_pass': 'NOT_TESTED', 'phone_tcp_station_postprint_pass': 'NOT_TESTED', 'tag_application_tool_postprint_pass': 'NOT_TESTED', 'camera_plate_hardware_pass': 'NOT_TESTED', 'calibration_puck_datum_pass': 'NOT_TESTED', 'tool_body_postprint_pass': 'NOT_TESTED', 'stylus_collar_retention_pass': 'NOT_TESTED', 'rod_bushing_retention_pass': 'NOT_TESTED', 'phone_tpu_batch_postprint_pass': 'NOT_TESTED', 'keyboard_tpu_batch_postprint_pass': 'NOT_TESTED'}.</x:v>
      </x:c>
      <x:c r="D19" s="16" t="str">
        <x:v>Print and accept every active profile-specific coupon, first article, production interface, and matched spare.</x:v>
      </x:c>
    </x:row>
    <x:row r="20">
      <x:c r="A20" s="20" t="str">
        <x:v>board_physical_acceptance</x:v>
      </x:c>
      <x:c r="B20" s="20" t="str">
        <x:v>PHYSICAL_HOLD</x:v>
      </x:c>
      <x:c r="C20" s="20" t="str">
        <x:v>Gate state: {'board_setup_template_scale_pass': 'NOT_TESTED', 'board_fabrication_pass': 'NOT_TESTED'}.</x:v>
      </x:c>
      <x:c r="D20" s="20" t="str">
        <x:v>Accept the physical guide scale and board, then bind the board record to the qualified fastener-map hash.</x:v>
      </x:c>
    </x:row>
    <x:row r="21">
      <x:c r="A21" s="16" t="str">
        <x:v>vision_physical_acceptance</x:v>
      </x:c>
      <x:c r="B21" s="16" t="str">
        <x:v>PHYSICAL_HOLD</x:v>
      </x:c>
      <x:c r="C21" s="16" t="str">
        <x:v>Gate state: {'tag_artwork_scale_pass': 'NOT_TESTED', 'tag_direct_installation_pass': 'NOT_TESTED', 'tag_plane_placement_measured': 'NOT_TESTED'}.</x:v>
      </x:c>
      <x:c r="D21" s="16" t="str">
        <x:v>Validate physical tag scale/stock, install all six tags, and record their optical-plane metrology.</x:v>
      </x:c>
    </x:row>
    <x:row r="22">
      <x:c r="A22" s="20" t="str">
        <x:v>mechanical_repeatability</x:v>
      </x:c>
      <x:c r="B22" s="20" t="str">
        <x:v>PHYSICAL_HOLD</x:v>
      </x:c>
      <x:c r="C22" s="20" t="str">
        <x:v>Gate state: {'keyboard_fixture_assembly_pass': 'NOT_TESTED', 'phone_fixture_assembly_pass': 'NOT_TESTED', 'station_remove_reinstall_repeatability_pass': 'NOT_TESTED'}.</x:v>
      </x:c>
      <x:c r="D22" s="20" t="str">
        <x:v>Complete the station/device dry fits and ten-cycle pose/rocking/structural proofs.</x:v>
      </x:c>
    </x:row>
    <x:row r="23">
      <x:c r="A23" s="16" t="str">
        <x:v>powered_safety_and_commissioning</x:v>
      </x:c>
      <x:c r="B23" s="16" t="str">
        <x:v>PHYSICAL_HOLD</x:v>
      </x:c>
      <x:c r="C23" s="16" t="str">
        <x:v>Gate state: {'commissioning_motion_contact_limits_approved': 'NOT_TESTED', 'workcell_commissioning_pass': 'NOT_TESTED'}.</x:v>
      </x:c>
      <x:c r="D23" s="16" t="str">
        <x:v>Release the reinforcement, anti-shift, enclosed E-stop, camera, robot limits/programs, reach, empty motion, and controlled first-contact evidence before power-up.</x:v>
      </x:c>
    </x:row>
    <x:row r="24">
      <x:c r="A24" s="19" t="str">
        <x:v>tool_route_selection</x:v>
      </x:c>
      <x:c r="B24" s="19" t="str">
        <x:v>CANDIDATE_SELECTED</x:v>
      </x:c>
      <x:c r="C24" s="19" t="str">
        <x:v>Selected tool routes in the physical evidence record: ['keyboard_rod_route', 'phone_stylus_route'].</x:v>
      </x:c>
      <x:c r="D24" s="19" t="str">
        <x:v>Physically qualify every selected route.</x:v>
      </x:c>
    </x:row>
  </x:sheetData>
  <x:mergeCells>
    <x:mergeCell ref="A1:D1"/>
  </x:mergeCells>
  <x:conditionalFormatting sqref="B4:B24">
    <x:cfRule type="containsText" dxfId="0" priority="1" operator="containsText" text="PASS"/>
    <x:cfRule type="containsText" dxfId="1" priority="2" operator="containsText" text="READY"/>
    <x:cfRule type="containsText" dxfId="2" priority="3" operator="containsText" text="WAITING"/>
    <x:cfRule type="containsText" dxfId="3" priority="4" operator="containsText" text="NOT_TESTED"/>
    <x:cfRule type="containsText" dxfId="4" priority="5" operator="containsText" text="NOT_SELECTED"/>
    <x:cfRule type="containsText" dxfId="5" priority="6" operator="containsText" text="HOLD"/>
    <x:cfRule type="containsText" dxfId="6" priority="7" operator="containsText" text="OPEN"/>
    <x:cfRule type="containsText" dxfId="7" priority="8" operator="containsText" text="FAIL"/>
  </x:conditionalFormatting>
  <x:pageMargins left="0.7" right="0.7" top="0.75" bottom="0.75" header="0.3" footer="0.3"/>
  <x:tableParts count="1">
    <x:tablePart xmlns:r="http://schemas.openxmlformats.org/officeDocument/2006/relationships" r:id="R5ced222b13eb41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12" hidden="0" customWidth="1"/>
    <x:col min="3" max="3" width="42" hidden="0" customWidth="1"/>
    <x:col min="4" max="4" width="62" hidden="0" customWidth="1"/>
  </x:cols>
  <x:sheetData>
    <x:row r="1" ht="30" customHeight="1">
      <x:c r="A1" s="3" t="str">
        <x:v>Selected Route Intent - planning view; commit changes with the recording script</x:v>
      </x:c>
      <x:c r="B1" s="3"/>
      <x:c r="C1" s="3"/>
      <x:c r="D1" s="3"/>
    </x:row>
    <x:row r="3" ht="28" customHeight="1">
      <x:c r="A3" s="7" t="str">
        <x:v>Route ID</x:v>
      </x:c>
      <x:c r="B3" s="7" t="str">
        <x:v>Selected</x:v>
      </x:c>
      <x:c r="C3" s="7" t="str">
        <x:v>What it enables</x:v>
      </x:c>
      <x:c r="D3" s="7" t="str">
        <x:v>Decision</x:v>
      </x:c>
    </x:row>
    <x:row r="4">
      <x:c r="A4" s="18" t="str">
        <x:v>phone_stylus_route</x:v>
      </x:c>
      <x:c r="B4" s="18" t="str">
        <x:v>YES</x:v>
      </x:c>
      <x:c r="C4" s="18" t="str">
        <x:v>Shared compliant tool + removable-retention stylus collar</x:v>
      </x:c>
      <x:c r="D4" s="18" t="str">
        <x:v>Select only after measuring and hand-testing the intended passive stylus.</x:v>
      </x:c>
    </x:row>
    <x:row r="5">
      <x:c r="A5" s="16" t="str">
        <x:v>keyboard_rod_route</x:v>
      </x:c>
      <x:c r="B5" s="16" t="str">
        <x:v>YES</x:v>
      </x:c>
      <x:c r="C5" s="16" t="str">
        <x:v>Shared compliant tool + rod bushing + TPU keyboard tips</x:v>
      </x:c>
      <x:c r="D5" s="16" t="str">
        <x:v>Select only after measuring a straight, deburred 6 mm rod.</x:v>
      </x:c>
    </x:row>
    <x:row r="6">
      <x:c r="A6" s="19" t="str">
        <x:v>camera_mast_optional</x:v>
      </x:c>
      <x:c r="B6" s="19" t="str">
        <x:v>NO</x:v>
      </x:c>
      <x:c r="C6" s="19" t="str">
        <x:v>Fixed-mast ASA diagnostics and feet as an unqualified fallback only; this is not an arm-camera adapter</x:v>
      </x:c>
      <x:c r="D6" s="19" t="str">
        <x:v>Primary intent is arm-mounted. Stop until the exact camera/link/mount, moving cable, eye-in-hand calibration, payload, reach, and collision contract is controlled.</x:v>
      </x:c>
    </x:row>
  </x:sheetData>
  <x:mergeCells>
    <x:mergeCell ref="A1:D1"/>
  </x:mergeCells>
  <x:dataValidations count="1">
    <x:dataValidation type="list" sqref="B4:B6">
      <x:formula1>"YES,NO"</x:formula1>
    </x:dataValidation>
  </x:dataValidations>
  <x:pageMargins left="0.7" right="0.7" top="0.75" bottom="0.75" header="0.3" footer="0.3"/>
  <x:tableParts count="1">
    <x:tablePart xmlns:r="http://schemas.openxmlformats.org/officeDocument/2006/relationships" r:id="R8c1e5184ac7040b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9" hidden="0" customWidth="1"/>
    <x:col min="2" max="2" width="16" hidden="0" customWidth="1"/>
    <x:col min="3" max="3" width="14" hidden="0" customWidth="1"/>
    <x:col min="4" max="4" width="29" hidden="0" customWidth="1"/>
    <x:col min="5" max="5" width="18" hidden="0" customWidth="1"/>
    <x:col min="6" max="6" width="12" hidden="0" customWidth="1"/>
    <x:col min="7" max="7" width="19" hidden="0" customWidth="1"/>
    <x:col min="8" max="8" width="60" hidden="0" customWidth="1"/>
    <x:col min="9" max="9" width="34" hidden="0" customWidth="1"/>
    <x:col min="10" max="10" width="72" hidden="0" customWidth="1"/>
  </x:cols>
  <x:sheetData>
    <x:row r="1" ht="30" customHeight="1">
      <x:c r="A1" s="3" t="str">
        <x:v>Compatibility Gates - authoritative evidence remains in config/measurement_record.json</x:v>
      </x:c>
      <x:c r="B1" s="3"/>
      <x:c r="C1" s="3"/>
      <x:c r="D1" s="3"/>
      <x:c r="E1" s="3"/>
      <x:c r="F1" s="3"/>
      <x:c r="G1" s="3"/>
      <x:c r="H1" s="3"/>
      <x:c r="I1" s="3"/>
      <x:c r="J1" s="3"/>
    </x:row>
    <x:row r="3" ht="28" customHeight="1">
      <x:c r="A3" s="7" t="str">
        <x:v>Gate ID</x:v>
      </x:c>
      <x:c r="B3" s="7" t="str">
        <x:v>Category</x:v>
      </x:c>
      <x:c r="C3" s="7" t="str">
        <x:v>Status</x:v>
      </x:c>
      <x:c r="D3" s="7" t="str">
        <x:v>Process profile</x:v>
      </x:c>
      <x:c r="E3" s="7" t="str">
        <x:v>Material</x:v>
      </x:c>
      <x:c r="F3" s="7" t="str">
        <x:v>Nozzle mm</x:v>
      </x:c>
      <x:c r="G3" s="7" t="str">
        <x:v>Revision</x:v>
      </x:c>
      <x:c r="H3" s="7" t="str">
        <x:v>Recorded values</x:v>
      </x:c>
      <x:c r="I3" s="7" t="str">
        <x:v>Nominal values</x:v>
      </x:c>
      <x:c r="J3" s="7" t="str">
        <x:v>Required evidence</x:v>
      </x:c>
    </x:row>
    <x:row r="4">
      <x:c r="A4" s="18" t="str">
        <x:v>plus4_machine_confirmed</x:v>
      </x:c>
      <x:c r="B4" s="18" t="str">
        <x:v>machine</x:v>
      </x:c>
      <x:c r="C4" s="18" t="str">
        <x:v>PASS</x:v>
      </x:c>
      <x:c r="D4" s="18" t="str">
        <x:v>machine_configuration</x:v>
      </x:c>
      <x:c r="E4" s="18" t="str">
        <x:v>not_applicable</x:v>
      </x:c>
      <x:c r="F4" s="18" t="str">
        <x:v>not_applicable</x:v>
      </x:c>
      <x:c r="G4" s="18" t="str">
        <x:v>RC03-INT-R1</x:v>
      </x:c>
      <x:c r="H4" s="18" t="str">
        <x:v>{"printer_model":"QIDI Plus4","nominal_build_volume_mm":[305,305,280],"provisional_protected_envelope_mm":[295,295,275]}</x:v>
      </x:c>
      <x:c r="I4" s="18" t="str">
        <x:v>{}</x:v>
      </x:c>
      <x:c r="J4" s="18" t="str">
        <x:v>The user identified the machine as a QIDI Plus4 with a nominal 305 x 305 x 280 mm build volume. This PASS confirms model identity and nominal volume only; it does not release the provisional 295 x 295 x 275 mm protected envelope.
Evidence note: BUILD_BY_STEP/00 - Measure Hardware and Print Approved Parts/06 - SAVE MEASUREMENTS AND PHOTOS/2026-09-01_CELL-A/reports/QIDI_PLUS4_PROTOTYPE_BASELINE.md; official QIDI Plus4 specifications</x:v>
      </x:c>
    </x:row>
    <x:row r="5">
      <x:c r="A5" s="16" t="str">
        <x:v>plus4_protected_envelope_verified</x:v>
      </x:c>
      <x:c r="B5" s="16" t="str">
        <x:v>machine</x:v>
      </x:c>
      <x:c r="C5" s="16" t="str">
        <x:v>PASS</x:v>
      </x:c>
      <x:c r="D5" s="16" t="str">
        <x:v>machine_configuration</x:v>
      </x:c>
      <x:c r="E5" s="16" t="str">
        <x:v>not_applicable</x:v>
      </x:c>
      <x:c r="F5" s="16" t="str">
        <x:v>not_applicable</x:v>
      </x:c>
      <x:c r="G5" s="16" t="str">
        <x:v>RC03-INT-R1</x:v>
      </x:c>
      <x:c r="H5" s="16" t="str">
        <x:v>{"printer_serial":"NOT_TRACKED_PROTOTYPE","firmware_version":"Plus4_v1.7.1 official baseline; operator confirmed fully updated","build_surface":"QIDI dual-sided textured PEI plate","verified_protected_envelope_mm":[295,295,275],"purge_and_exclusion_zone_result":"PASS - operator confirmed completed printer qualification","carriage_clearance_result":"PASS - protected envelope is inside official nominal volume","enclosure_clearance_result":"PASS - operator confirmed completed printer qualification","full_travel_test_result":"PASS - operator confirmed completed printer qualification"}</x:v>
      </x:c>
      <x:c r="I5" s="16" t="str">
        <x:v>{}</x:v>
      </x:c>
      <x:c r="J5" s="16" t="str">
        <x:v>On the actual QIDI Plus4, verify the 295 x 295 x 275 mm provisional envelope at the released build-surface state. Confirm purge/exclusion zones, carriage and enclosure clearance, and full X/Y/Z travel without collision. Record the printer serial, firmware, surface, values, method, and photos before any production job is READY.
Evidence note: BUILD_BY_STEP/00 - Measure Hardware and Print Approved Parts/06 - SAVE MEASUREMENTS AND PHOTOS/2026-09-01_CELL-A/reports/QIDI_PLUS4_PROTOTYPE_BASELINE.md</x:v>
      </x:c>
    </x:row>
    <x:row r="6">
      <x:c r="A6" s="20" t="str">
        <x:v>nozzle_0p4_confirmed</x:v>
      </x:c>
      <x:c r="B6" s="20" t="str">
        <x:v>machine</x:v>
      </x:c>
      <x:c r="C6" s="20" t="str">
        <x:v>PASS</x:v>
      </x:c>
      <x:c r="D6" s="20" t="str">
        <x:v>machine_configuration</x:v>
      </x:c>
      <x:c r="E6" s="20" t="str">
        <x:v>not_applicable</x:v>
      </x:c>
      <x:c r="F6" s="20" t="n">
        <x:v>0.4</x:v>
      </x:c>
      <x:c r="G6" s="20" t="str">
        <x:v>RC03-INT-R1</x:v>
      </x:c>
      <x:c r="H6" s="20" t="str">
        <x:v>{"installed_nozzle_mm":0.4,"verification_method":"Official QIDI Plus4 standard specification and official printer.cfg; operator confirmed printer configuration"}</x:v>
      </x:c>
      <x:c r="I6" s="20" t="str">
        <x:v>{}</x:v>
      </x:c>
      <x:c r="J6" s="20" t="str">
        <x:v>Confirm the installed nozzle is 0.4 mm and record how it was verified.
Evidence note: BUILD_BY_STEP/00 - Measure Hardware and Print Approved Parts/06 - SAVE MEASUREMENTS AND PHOTOS/2026-09-01_CELL-A/reports/QIDI_PLUS4_PROTOTYPE_BASELINE.md</x:v>
      </x:c>
    </x:row>
    <x:row r="7">
      <x:c r="A7" s="16" t="str">
        <x:v>abs_rapido_general_profile_calibrated</x:v>
      </x:c>
      <x:c r="B7" s="16" t="str">
        <x:v>material</x:v>
      </x:c>
      <x:c r="C7" s="16" t="str">
        <x:v>PASS</x:v>
      </x:c>
      <x:c r="D7" s="16" t="str">
        <x:v>abs_rapido_general_0p4</x:v>
      </x:c>
      <x:c r="E7" s="16" t="str">
        <x:v>QIDI ABS Rapido</x:v>
      </x:c>
      <x:c r="F7" s="16" t="n">
        <x:v>0.4</x:v>
      </x:c>
      <x:c r="G7" s="16" t="str">
        <x:v>RC03-INT-R1</x:v>
      </x:c>
      <x:c r="H7" s="16" t="str">
        <x:v>{"brand":"QIDI","filament_name":"ABS Rapido","spool_lot":"NOT_TRACKED_PROTOTYPE","profile_revision":"RC03-INT-R1 abs_rapido_general_0p4 SHA256 4d9038f98da0892dca1031e59696babbbf913c0947f9e4cbac288c6182d1bede","drying_record":"Operator confirmed print-ready; detailed drying record waived for prototype coupons","calibration_result":"PASS - operator confirmed the installed QIDI ABS Rapido preset and current native Job 00A slice; matching coupons provide dimensional release","chamber_condition":"QIDI Plus4 enclosure sealed; 55 C chamber target from the installed QIDI ABS Rapido preset"}</x:v>
      </x:c>
      <x:c r="I7" s="16" t="str">
        <x:v>{}</x:v>
      </x:c>
      <x:c r="J7" s="16" t="str">
        <x:v>Calibrate the exact dry QIDI ABS Rapido spool with abs_rapido_general_0p4 on the identified QIDI Plus4. Record the spool lot, drying record, saved profile revision, chamber condition, and calibration result before release.
Evidence note: New ABS evidence: operator-confirmed QIDI ABS Rapido installed preset and current native Job 00A slice reviewed in QIDI Studio on 2026-09-01 under the prototype lot/drying waiver. This is not derived from or transferred from the earlier PETG assertions.</x:v>
      </x:c>
    </x:row>
    <x:row r="8">
      <x:c r="A8" s="20" t="str">
        <x:v>abs_rapido_tray_profile_calibrated</x:v>
      </x:c>
      <x:c r="B8" s="20" t="str">
        <x:v>material</x:v>
      </x:c>
      <x:c r="C8" s="20" t="str">
        <x:v>PASS</x:v>
      </x:c>
      <x:c r="D8" s="20" t="str">
        <x:v>abs_rapido_tray_structural_0p4</x:v>
      </x:c>
      <x:c r="E8" s="20" t="str">
        <x:v>QIDI ABS Rapido</x:v>
      </x:c>
      <x:c r="F8" s="20" t="n">
        <x:v>0.4</x:v>
      </x:c>
      <x:c r="G8" s="20" t="str">
        <x:v>RC03-INT-R1</x:v>
      </x:c>
      <x:c r="H8" s="20" t="str">
        <x:v>{"brand":"QIDI","filament_name":"ABS Rapido","spool_lot":"NOT_TRACKED_PROTOTYPE","profile_revision":"RC03-INT-R1 abs_rapido_tray_structural_0p4 SHA256 4cc77d229e3f397c7f8d7c1a793ace5ba9490cafe2ef9d31f16e7ffa4c28123f","drying_record":"Operator confirmed print-ready; detailed drying record waived for prototype coupons","calibration_result":"PASS - operator confirmed the installed QIDI ABS Rapido preset and current native Job 00A slice; matching coupons provide dimensional release","chamber_condition":"QIDI Plus4 enclosure sealed; 55 C chamber target from the installed QIDI ABS Rapido preset"}</x:v>
      </x:c>
      <x:c r="I8" s="20" t="str">
        <x:v>{}</x:v>
      </x:c>
      <x:c r="J8" s="20" t="str">
        <x:v>Calibrate the exact dry QIDI ABS Rapido spool with abs_rapido_tray_structural_0p4 on the identified QIDI Plus4. Record the spool lot, drying record, saved profile revision, chamber condition, and calibration result before Job 00A or either keyboard station is released.
Evidence note: New ABS evidence: operator-confirmed QIDI ABS Rapido installed preset and current native Job 00A slice reviewed in QIDI Studio on 2026-09-01 under the prototype lot/drying waiver. This is not derived from or transferred from the earlier PETG assertions.</x:v>
      </x:c>
    </x:row>
    <x:row r="9">
      <x:c r="A9" s="16" t="str">
        <x:v>abs_rapido_cradle_profile_calibrated</x:v>
      </x:c>
      <x:c r="B9" s="16" t="str">
        <x:v>material</x:v>
      </x:c>
      <x:c r="C9" s="16" t="str">
        <x:v>PASS</x:v>
      </x:c>
      <x:c r="D9" s="16" t="str">
        <x:v>abs_rapido_cradle_0p4</x:v>
      </x:c>
      <x:c r="E9" s="16" t="str">
        <x:v>QIDI ABS Rapido</x:v>
      </x:c>
      <x:c r="F9" s="16" t="n">
        <x:v>0.4</x:v>
      </x:c>
      <x:c r="G9" s="16" t="str">
        <x:v>RC03-INT-R1</x:v>
      </x:c>
      <x:c r="H9" s="16" t="str">
        <x:v>{"brand":"QIDI","filament_name":"ABS Rapido","spool_lot":"NOT_TRACKED_PROTOTYPE","profile_revision":"RC03-INT-R1 abs_rapido_cradle_0p4 SHA256 0dca510bbadec73f611b731a8fd24f22310b3ba113759f58f0ed7f1cdc33c545","drying_record":"Operator confirmed print-ready; detailed drying record waived for prototype coupons","calibration_result":"PASS - operator confirmed the installed QIDI ABS Rapido preset and current native Job 00A slice; matching coupons provide dimensional release","chamber_condition":"QIDI Plus4 enclosure sealed; 55 C chamber target from the installed QIDI ABS Rapido preset"}</x:v>
      </x:c>
      <x:c r="I9" s="16" t="str">
        <x:v>{}</x:v>
      </x:c>
      <x:c r="J9" s="16" t="str">
        <x:v>Calibrate the exact dry QIDI ABS Rapido spool with abs_rapido_cradle_0p4 on the identified QIDI Plus4. Record the spool lot, drying record, saved profile revision, chamber condition, and calibration result before Job 00B or the service-station parts are released.
Evidence note: New ABS evidence: operator-confirmed QIDI ABS Rapido installed preset and current native Job 00A slice reviewed in QIDI Studio on 2026-09-01 under the prototype lot/drying waiver. This is not derived from or transferred from the earlier PETG assertions.</x:v>
      </x:c>
    </x:row>
    <x:row r="10">
      <x:c r="A10" s="20" t="str">
        <x:v>abs_rapido_precision_profile_calibrated</x:v>
      </x:c>
      <x:c r="B10" s="20" t="str">
        <x:v>material</x:v>
      </x:c>
      <x:c r="C10" s="20" t="str">
        <x:v>PASS</x:v>
      </x:c>
      <x:c r="D10" s="20" t="str">
        <x:v>abs_rapido_precision_0p4</x:v>
      </x:c>
      <x:c r="E10" s="20" t="str">
        <x:v>QIDI ABS Rapido</x:v>
      </x:c>
      <x:c r="F10" s="20" t="n">
        <x:v>0.4</x:v>
      </x:c>
      <x:c r="G10" s="20" t="str">
        <x:v>RC03-INT-R1</x:v>
      </x:c>
      <x:c r="H10" s="20" t="str">
        <x:v>{"brand":"QIDI","filament_name":"ABS Rapido","spool_lot":"NOT_TRACKED_PROTOTYPE","profile_revision":"RC03-INT-R1 abs_rapido_precision_0p4 SHA256 60827c142c2f8e88c0a45ace71712cf2c94f84d66dc796880352ab32de1e7195","drying_record":"Operator confirmed print-ready; detailed drying record waived for prototype coupons","calibration_result":"PASS - operator confirmed the installed QIDI ABS Rapido preset and current native Job 00A slice; matching coupons provide dimensional release","chamber_condition":"QIDI Plus4 enclosure sealed; 55 C chamber target from the installed QIDI ABS Rapido preset"}</x:v>
      </x:c>
      <x:c r="I10" s="20" t="str">
        <x:v>{}</x:v>
      </x:c>
      <x:c r="J10" s="20" t="str">
        <x:v>Calibrate the exact dry QIDI ABS Rapido spool with abs_rapido_precision_0p4 on the identified QIDI Plus4. Record the spool lot, drying record, saved profile revision, chamber condition, and calibration result before Job 00C or the compliant tool is released.
Evidence note: New ABS evidence: operator-confirmed QIDI ABS Rapido installed preset and current native Job 00A slice reviewed in QIDI Studio on 2026-09-01 under the prototype lot/drying waiver. This is not derived from or transferred from the earlier PETG assertions.</x:v>
      </x:c>
    </x:row>
    <x:row r="11">
      <x:c r="A11" s="16" t="str">
        <x:v>abs_rapido_calibration_profile_calibrated</x:v>
      </x:c>
      <x:c r="B11" s="16" t="str">
        <x:v>material</x:v>
      </x:c>
      <x:c r="C11" s="16" t="str">
        <x:v>PASS</x:v>
      </x:c>
      <x:c r="D11" s="16" t="str">
        <x:v>abs_rapido_calibration_0p4</x:v>
      </x:c>
      <x:c r="E11" s="16" t="str">
        <x:v>QIDI ABS Rapido</x:v>
      </x:c>
      <x:c r="F11" s="16" t="n">
        <x:v>0.4</x:v>
      </x:c>
      <x:c r="G11" s="16" t="str">
        <x:v>RC03-INT-R1</x:v>
      </x:c>
      <x:c r="H11" s="16" t="str">
        <x:v>{"brand":"QIDI","filament_name":"ABS Rapido","spool_lot":"NOT_TRACKED_PROTOTYPE","profile_revision":"RC03-INT-R1 abs_rapido_calibration_0p4 SHA256 f3c6513d491cad5e3fc611549c640439ac58189ddea5c79fe01725e3a846b114","drying_record":"Operator confirmed print-ready; detailed drying record waived for prototype coupons","calibration_result":"PASS - operator confirmed the installed QIDI ABS Rapido preset and current native Job 00A slice; matching coupons provide dimensional release","chamber_condition":"QIDI Plus4 enclosure sealed; 55 C chamber target from the installed QIDI ABS Rapido preset"}</x:v>
      </x:c>
      <x:c r="I11" s="16" t="str">
        <x:v>{}</x:v>
      </x:c>
      <x:c r="J11" s="16" t="str">
        <x:v>Calibrate the exact dry QIDI ABS Rapido spool with abs_rapido_calibration_0p4 on the identified QIDI Plus4. Record the spool lot, drying record, saved profile revision, chamber condition, and calibration result before Job 00F or the TCP datum cartridges are released.
Evidence note: New ABS evidence: operator-confirmed QIDI ABS Rapido installed preset and current native Job 00A slice reviewed in QIDI Studio on 2026-09-01 under the prototype lot/drying waiver. This is not derived from or transferred from the earlier PETG assertions.</x:v>
      </x:c>
    </x:row>
    <x:row r="12">
      <x:c r="A12" s="20" t="str">
        <x:v>petg_general_profile_calibrated</x:v>
      </x:c>
      <x:c r="B12" s="20" t="str">
        <x:v>material</x:v>
      </x:c>
      <x:c r="C12" s="20" t="str">
        <x:v>NOT_TESTED</x:v>
      </x:c>
      <x:c r="D12" s="20" t="str">
        <x:v>petg_general_0p4</x:v>
      </x:c>
      <x:c r="E12" s="20" t="str">
        <x:v>PETG</x:v>
      </x:c>
      <x:c r="F12" s="20" t="n">
        <x:v>0.4</x:v>
      </x:c>
      <x:c r="G12" s="20" t="str">
        <x:v>RC03-INT-R1</x:v>
      </x:c>
      <x:c r="H12" s="20" t="str">
        <x:v>{"brand":null,"filament_name":null,"spool_lot":null,"profile_revision":null,"drying_record":null,"calibration_result":null}</x:v>
      </x:c>
      <x:c r="I12" s="20" t="str">
        <x:v>{}</x:v>
      </x:c>
      <x:c r="J12" s="20" t="str">
        <x:v>Calibrate an identified exact PETG spool with petg_general_0p4 only if the unselected fixed-mast fallback camera plate is formally released.
Evidence note: The earlier prototype PETG assertion was invalidated because its brand, lot, drying record, and exact profile were not tracked. It is not release evidence for the inactive fallback branch.</x:v>
      </x:c>
    </x:row>
    <x:row r="13">
      <x:c r="A13" s="16" t="str">
        <x:v>petg_tray_profile_calibrated</x:v>
      </x:c>
      <x:c r="B13" s="16" t="str">
        <x:v>material</x:v>
      </x:c>
      <x:c r="C13" s="16" t="str">
        <x:v>NA</x:v>
      </x:c>
      <x:c r="D13" s="16" t="str">
        <x:v>petg_tray_structural_0p4</x:v>
      </x:c>
      <x:c r="E13" s="16" t="str">
        <x:v>PETG</x:v>
      </x:c>
      <x:c r="F13" s="16" t="n">
        <x:v>0.4</x:v>
      </x:c>
      <x:c r="G13" s="16" t="str">
        <x:v>RC03-INT-R1</x:v>
      </x:c>
      <x:c r="H13" s="16" t="str">
        <x:v>{"brand":null,"filament_name":null,"spool_lot":null,"profile_revision":null,"drying_record":null,"calibration_result":null}</x:v>
      </x:c>
      <x:c r="I13" s="16" t="str">
        <x:v>{}</x:v>
      </x:c>
      <x:c r="J13" s="16" t="str">
        <x:v>Legacy PETG tray profile retained as an inactive historical record; active tray jobs use QIDI ABS Rapido.
Evidence note: The earlier unidentified prototype PETG assertion was invalidated and is not transferable to the ABS tray profile.</x:v>
      </x:c>
    </x:row>
    <x:row r="14">
      <x:c r="A14" s="20" t="str">
        <x:v>petg_cradle_profile_calibrated</x:v>
      </x:c>
      <x:c r="B14" s="20" t="str">
        <x:v>material</x:v>
      </x:c>
      <x:c r="C14" s="20" t="str">
        <x:v>NA</x:v>
      </x:c>
      <x:c r="D14" s="20" t="str">
        <x:v>petg_cradle_0p4</x:v>
      </x:c>
      <x:c r="E14" s="20" t="str">
        <x:v>PETG</x:v>
      </x:c>
      <x:c r="F14" s="20" t="n">
        <x:v>0.4</x:v>
      </x:c>
      <x:c r="G14" s="20" t="str">
        <x:v>RC03-INT-R1</x:v>
      </x:c>
      <x:c r="H14" s="20" t="str">
        <x:v>{"brand":null,"filament_name":null,"spool_lot":null,"profile_revision":null,"drying_record":null,"calibration_result":null}</x:v>
      </x:c>
      <x:c r="I14" s="20" t="str">
        <x:v>{}</x:v>
      </x:c>
      <x:c r="J14" s="20" t="str">
        <x:v>Legacy PETG cradle profile retained as an inactive historical record; active cradle jobs use QIDI ABS Rapido.
Evidence note: The earlier unidentified prototype PETG assertion was invalidated and is not transferable to the ABS cradle profile.</x:v>
      </x:c>
    </x:row>
    <x:row r="15">
      <x:c r="A15" s="16" t="str">
        <x:v>petg_precision_profile_calibrated</x:v>
      </x:c>
      <x:c r="B15" s="16" t="str">
        <x:v>material</x:v>
      </x:c>
      <x:c r="C15" s="16" t="str">
        <x:v>NA</x:v>
      </x:c>
      <x:c r="D15" s="16" t="str">
        <x:v>petg_precision_0p4</x:v>
      </x:c>
      <x:c r="E15" s="16" t="str">
        <x:v>PETG</x:v>
      </x:c>
      <x:c r="F15" s="16" t="n">
        <x:v>0.4</x:v>
      </x:c>
      <x:c r="G15" s="16" t="str">
        <x:v>RC03-INT-R1</x:v>
      </x:c>
      <x:c r="H15" s="16" t="str">
        <x:v>{"brand":null,"filament_name":null,"spool_lot":null,"profile_revision":null,"drying_record":null,"calibration_result":null}</x:v>
      </x:c>
      <x:c r="I15" s="16" t="str">
        <x:v>{}</x:v>
      </x:c>
      <x:c r="J15" s="16" t="str">
        <x:v>Legacy PETG precision profile retained as an inactive historical record; active precision jobs use QIDI ABS Rapido.
Evidence note: The earlier unidentified prototype PETG assertion was invalidated and is not transferable to the ABS precision profile.</x:v>
      </x:c>
    </x:row>
    <x:row r="16">
      <x:c r="A16" s="20" t="str">
        <x:v>petg_adapter_profile_calibrated</x:v>
      </x:c>
      <x:c r="B16" s="20" t="str">
        <x:v>material</x:v>
      </x:c>
      <x:c r="C16" s="20" t="str">
        <x:v>NOT_TESTED</x:v>
      </x:c>
      <x:c r="D16" s="20" t="str">
        <x:v>petg_adapter_0p4</x:v>
      </x:c>
      <x:c r="E16" s="20" t="str">
        <x:v>PETG</x:v>
      </x:c>
      <x:c r="F16" s="20" t="n">
        <x:v>0.4</x:v>
      </x:c>
      <x:c r="G16" s="20" t="str">
        <x:v>RC03-INT-R1</x:v>
      </x:c>
      <x:c r="H16" s="20" t="str">
        <x:v>{"brand":null,"filament_name":null,"spool_lot":null,"profile_revision":null,"drying_record":null,"calibration_result":null}</x:v>
      </x:c>
      <x:c r="I16" s="20" t="str">
        <x:v>{}</x:v>
      </x:c>
      <x:c r="J16" s="20" t="str">
        <x:v>Identify and calibrate the exact dry PETG spool with petg_adapter_0p4 before printing the retained thin-wall adapter jobs.
Evidence note: The earlier prototype PETG assertion was invalidated because its brand, lot, drying record, and exact profile were not tracked. Jobs 00D, 04B, and 04C remain PETG and require fresh evidence.</x:v>
      </x:c>
    </x:row>
    <x:row r="17">
      <x:c r="A17" s="16" t="str">
        <x:v>petg_calibration_profile_calibrated</x:v>
      </x:c>
      <x:c r="B17" s="16" t="str">
        <x:v>material</x:v>
      </x:c>
      <x:c r="C17" s="16" t="str">
        <x:v>NA</x:v>
      </x:c>
      <x:c r="D17" s="16" t="str">
        <x:v>petg_calibration_0p4</x:v>
      </x:c>
      <x:c r="E17" s="16" t="str">
        <x:v>PETG</x:v>
      </x:c>
      <x:c r="F17" s="16" t="n">
        <x:v>0.4</x:v>
      </x:c>
      <x:c r="G17" s="16" t="str">
        <x:v>RC03-INT-R1</x:v>
      </x:c>
      <x:c r="H17" s="16" t="str">
        <x:v>{"brand":null,"filament_name":null,"spool_lot":null,"profile_revision":null,"drying_record":null,"calibration_result":null}</x:v>
      </x:c>
      <x:c r="I17" s="16" t="str">
        <x:v>{}</x:v>
      </x:c>
      <x:c r="J17" s="16" t="str">
        <x:v>Legacy PETG calibration profile retained as an inactive historical record; active calibration jobs use QIDI ABS Rapido.
Evidence note: The earlier unidentified prototype PETG assertion was invalidated and is not transferable to the ABS calibration profile.</x:v>
      </x:c>
    </x:row>
    <x:row r="18">
      <x:c r="A18" s="20" t="str">
        <x:v>tpu_profile_calibrated</x:v>
      </x:c>
      <x:c r="B18" s="20" t="str">
        <x:v>material</x:v>
      </x:c>
      <x:c r="C18" s="20" t="str">
        <x:v>NOT_TESTED</x:v>
      </x:c>
      <x:c r="D18" s="20" t="str">
        <x:v>tpu95a_0p4</x:v>
      </x:c>
      <x:c r="E18" s="20" t="str">
        <x:v>TPU 95A</x:v>
      </x:c>
      <x:c r="F18" s="20" t="n">
        <x:v>0.4</x:v>
      </x:c>
      <x:c r="G18" s="20" t="str">
        <x:v>RC03-INT-R1</x:v>
      </x:c>
      <x:c r="H18" s="20" t="str">
        <x:v>{"brand":null,"filament_name":null,"spool_lot":null,"profile_revision":null,"drying_record":null,"calibration_result":null,"shore_hardness":"95A"}</x:v>
      </x:c>
      <x:c r="I18" s="20" t="str">
        <x:v>{}</x:v>
      </x:c>
      <x:c r="J18" s="20" t="str">
        <x:v>Calibrate the exact dry TPU spool with tpu95a_0p4.</x:v>
      </x:c>
    </x:row>
    <x:row r="19">
      <x:c r="A19" s="16" t="str">
        <x:v>asa_profile_calibrated</x:v>
      </x:c>
      <x:c r="B19" s="16" t="str">
        <x:v>material</x:v>
      </x:c>
      <x:c r="C19" s="16" t="str">
        <x:v>NOT_TESTED</x:v>
      </x:c>
      <x:c r="D19" s="16" t="str">
        <x:v>asa_structural_0p4</x:v>
      </x:c>
      <x:c r="E19" s="16" t="str">
        <x:v>ASA</x:v>
      </x:c>
      <x:c r="F19" s="16" t="n">
        <x:v>0.4</x:v>
      </x:c>
      <x:c r="G19" s="16" t="str">
        <x:v>RC03-INT-R1</x:v>
      </x:c>
      <x:c r="H19" s="16" t="str">
        <x:v>{"brand":null,"filament_name":null,"spool_lot":null,"profile_revision":null,"drying_record":null,"calibration_result":null,"chamber_condition":null}</x:v>
      </x:c>
      <x:c r="I19" s="16" t="str">
        <x:v>{}</x:v>
      </x:c>
      <x:c r="J19" s="16" t="str">
        <x:v>Calibrate the exact ASA spool with the intended chamber conditions.</x:v>
      </x:c>
    </x:row>
    <x:row r="20">
      <x:c r="A20" s="20" t="str">
        <x:v>keyboard_dimensions_measured</x:v>
      </x:c>
      <x:c r="B20" s="20" t="str">
        <x:v>measurement</x:v>
      </x:c>
      <x:c r="C20" s="20" t="str">
        <x:v>NOT_TESTED</x:v>
      </x:c>
      <x:c r="D20" s="20" t="str">
        <x:v>geometry_input</x:v>
      </x:c>
      <x:c r="E20" s="20" t="str">
        <x:v>device</x:v>
      </x:c>
      <x:c r="F20" s="20" t="str">
        <x:v>not_applicable</x:v>
      </x:c>
      <x:c r="G20" s="20" t="str">
        <x:v>RC03-INT-R1</x:v>
      </x:c>
      <x:c r="H20" s="20" t="str">
        <x:v>{"device_model":null,"width_mm":null,"depth_mm":null,"height_mm":null,"cable_keepout_mm":null}</x:v>
      </x:c>
      <x:c r="I20" s="20" t="str">
        <x:v>{"width_mm":315,"depth_mm":147,"height_mm":21}</x:v>
      </x:c>
      <x:c r="J20" s="20" t="str">
        <x:v>Measure the keyboard at its widest and tallest points, including its cable keepout.</x:v>
      </x:c>
    </x:row>
    <x:row r="21">
      <x:c r="A21" s="16" t="str">
        <x:v>phone_dimensions_measured</x:v>
      </x:c>
      <x:c r="B21" s="16" t="str">
        <x:v>measurement</x:v>
      </x:c>
      <x:c r="C21" s="16" t="str">
        <x:v>NOT_TESTED</x:v>
      </x:c>
      <x:c r="D21" s="16" t="str">
        <x:v>geometry_input</x:v>
      </x:c>
      <x:c r="E21" s="16" t="str">
        <x:v>device</x:v>
      </x:c>
      <x:c r="F21" s="16" t="str">
        <x:v>not_applicable</x:v>
      </x:c>
      <x:c r="G21" s="16" t="str">
        <x:v>RC03-INT-R1</x:v>
      </x:c>
      <x:c r="H21" s="16" t="str">
        <x:v>{"device_model":null,"width_mm":null,"length_mm":null,"thickness_mm":null,"case_installed":null,"camera_bump_envelope_mm":null}</x:v>
      </x:c>
      <x:c r="I21" s="16" t="str">
        <x:v>{"width_mm":77.9,"length_mm":164.4,"thickness_mm":7.9}</x:v>
      </x:c>
      <x:c r="J21" s="16" t="str">
        <x:v>Measure the phone in the exact case state, including the camera-bump envelope.</x:v>
      </x:c>
    </x:row>
    <x:row r="22">
      <x:c r="A22" s="20" t="str">
        <x:v>phone_side_features_measured</x:v>
      </x:c>
      <x:c r="B22" s="20" t="str">
        <x:v>measurement</x:v>
      </x:c>
      <x:c r="C22" s="20" t="str">
        <x:v>NOT_TESTED</x:v>
      </x:c>
      <x:c r="D22" s="20" t="str">
        <x:v>geometry_input</x:v>
      </x:c>
      <x:c r="E22" s="20" t="str">
        <x:v>device</x:v>
      </x:c>
      <x:c r="F22" s="20" t="str">
        <x:v>not_applicable</x:v>
      </x:c>
      <x:c r="G22" s="20" t="str">
        <x:v>RC03-INT-R1</x:v>
      </x:c>
      <x:c r="H22" s="20" t="str">
        <x:v>{"approved_clearance_limit_id":null,"right_side_keepouts_from_bottom_mm":null,"selected_clamp_centers_from_bottom_mm":null,"minimum_keepout_margin_mm":null,"clearance_measurement_uncertainty_mm":null}</x:v>
      </x:c>
      <x:c r="I22" s="20" t="str">
        <x:v>{}</x:v>
      </x:c>
      <x:c r="J22" s="20" t="str">
        <x:v>Use the PASS engineering release in phone_no_go_clearance_limit_approved. Record every right-side keepout as a named start/end interval, both clamp centers, the minimum measured margin, and measurement uncertainty. The conservative margin after uncertainty must meet the approved minimum.</x:v>
      </x:c>
    </x:row>
    <x:row r="23">
      <x:c r="A23" s="16" t="str">
        <x:v>phone_cable_measured</x:v>
      </x:c>
      <x:c r="B23" s="16" t="str">
        <x:v>measurement</x:v>
      </x:c>
      <x:c r="C23" s="16" t="str">
        <x:v>NOT_TESTED</x:v>
      </x:c>
      <x:c r="D23" s="16" t="str">
        <x:v>geometry_input</x:v>
      </x:c>
      <x:c r="E23" s="16" t="str">
        <x:v>device</x:v>
      </x:c>
      <x:c r="F23" s="16" t="str">
        <x:v>not_applicable</x:v>
      </x:c>
      <x:c r="G23" s="16" t="str">
        <x:v>RC03-INT-R1</x:v>
      </x:c>
      <x:c r="H23" s="16" t="str">
        <x:v>{"connector_width_mm":null,"connector_thickness_mm":null,"straight_projection_mm":null,"minimum_bend_radius_mm":null,"selected_tie_width_mm":null}</x:v>
      </x:c>
      <x:c r="I23" s="16" t="str">
        <x:v>{}</x:v>
      </x:c>
      <x:c r="J23" s="16" t="str">
        <x:v>Measure the installed USB-C connector, bend envelope, and selected strain-relief tie.</x:v>
      </x:c>
    </x:row>
    <x:row r="24">
      <x:c r="A24" s="20" t="str">
        <x:v>gripper_interface_measured</x:v>
      </x:c>
      <x:c r="B24" s="20" t="str">
        <x:v>measurement</x:v>
      </x:c>
      <x:c r="C24" s="20" t="str">
        <x:v>NOT_TESTED</x:v>
      </x:c>
      <x:c r="D24" s="20" t="str">
        <x:v>abs_rapido_precision_0p4</x:v>
      </x:c>
      <x:c r="E24" s="20" t="str">
        <x:v>device</x:v>
      </x:c>
      <x:c r="F24" s="20" t="n">
        <x:v>0.4</x:v>
      </x:c>
      <x:c r="G24" s="20" t="str">
        <x:v>RC03-INT-R1</x:v>
      </x:c>
      <x:c r="H24" s="20" t="str">
        <x:v>{"jaw_opening_mm":null,"jaw_pad_width_mm":null,"jaw_pad_height_mm":null,"selected_grip_setting":null}</x:v>
      </x:c>
      <x:c r="I24" s="20" t="str">
        <x:v>{}</x:v>
      </x:c>
      <x:c r="J24" s="20" t="str">
        <x:v>Measure the RoArm gripper and record the intended low-force gripping setting.</x:v>
      </x:c>
    </x:row>
    <x:row r="25">
      <x:c r="A25" s="16" t="str">
        <x:v>spring_dimensions_measured</x:v>
      </x:c>
      <x:c r="B25" s="16" t="str">
        <x:v>measurement</x:v>
      </x:c>
      <x:c r="C25" s="16" t="str">
        <x:v>NOT_TESTED</x:v>
      </x:c>
      <x:c r="D25" s="16" t="str">
        <x:v>abs_rapido_precision_0p4</x:v>
      </x:c>
      <x:c r="E25" s="16" t="str">
        <x:v>hardware</x:v>
      </x:c>
      <x:c r="F25" s="16" t="n">
        <x:v>0.4</x:v>
      </x:c>
      <x:c r="G25" s="16" t="str">
        <x:v>RC03-INT-R1</x:v>
      </x:c>
      <x:c r="H25" s="16" t="str">
        <x:v>{"od_mm":null,"id_mm":null,"free_length_mm":null,"approx_rate_n_per_mm":null,"coil_bind_length_mm":null}</x:v>
      </x:c>
      <x:c r="I25" s="16" t="str">
        <x:v>{"max_od_mm":13.5,"min_id_mm":10.5,"free_length_range_mm":"18-22"}</x:v>
      </x:c>
      <x:c r="J25" s="16" t="str">
        <x:v>Measure spring OD, ID, free length, approximate rate, and coil-bind length.</x:v>
      </x:c>
    </x:row>
    <x:row r="26">
      <x:c r="A26" s="20" t="str">
        <x:v>stylus_diameter_measured</x:v>
      </x:c>
      <x:c r="B26" s="20" t="str">
        <x:v>measurement</x:v>
      </x:c>
      <x:c r="C26" s="20" t="str">
        <x:v>NOT_TESTED</x:v>
      </x:c>
      <x:c r="D26" s="20" t="str">
        <x:v>petg_adapter_0p4</x:v>
      </x:c>
      <x:c r="E26" s="20" t="str">
        <x:v>device</x:v>
      </x:c>
      <x:c r="F26" s="20" t="n">
        <x:v>0.4</x:v>
      </x:c>
      <x:c r="G26" s="20" t="str">
        <x:v>RC03-INT-R1</x:v>
      </x:c>
      <x:c r="H26" s="20" t="str">
        <x:v>{"stylus_model":null,"diameter_mm":null,"measurement_locations":null}</x:v>
      </x:c>
      <x:c r="I26" s="20" t="str">
        <x:v>{"diameter_mm":9}</x:v>
      </x:c>
      <x:c r="J26" s="20" t="str">
        <x:v>Measure the capacitive stylus barrel at several locations.</x:v>
      </x:c>
    </x:row>
    <x:row r="27">
      <x:c r="A27" s="16" t="str">
        <x:v>keyboard_rod_measured</x:v>
      </x:c>
      <x:c r="B27" s="16" t="str">
        <x:v>measurement</x:v>
      </x:c>
      <x:c r="C27" s="16" t="str">
        <x:v>NOT_TESTED</x:v>
      </x:c>
      <x:c r="D27" s="16" t="str">
        <x:v>petg_adapter_0p4</x:v>
      </x:c>
      <x:c r="E27" s="16" t="str">
        <x:v>hardware</x:v>
      </x:c>
      <x:c r="F27" s="16" t="n">
        <x:v>0.4</x:v>
      </x:c>
      <x:c r="G27" s="16" t="str">
        <x:v>RC03-INT-R1</x:v>
      </x:c>
      <x:c r="H27" s="16" t="str">
        <x:v>{"material":null,"diameter_mm":null,"length_mm":null,"measurement_locations":null}</x:v>
      </x:c>
      <x:c r="I27" s="16" t="str">
        <x:v>{"diameter_mm":6,"length_range_mm":"90-110"}</x:v>
      </x:c>
      <x:c r="J27" s="16" t="str">
        <x:v>Measure the rod diameter at several points and record its finished length.</x:v>
      </x:c>
    </x:row>
    <x:row r="28">
      <x:c r="A28" s="20" t="str">
        <x:v>tag_stock_measured</x:v>
      </x:c>
      <x:c r="B28" s="20" t="str">
        <x:v>measurement</x:v>
      </x:c>
      <x:c r="C28" s="20" t="str">
        <x:v>NOT_TESTED</x:v>
      </x:c>
      <x:c r="D28" s="20" t="str">
        <x:v>geometry_input</x:v>
      </x:c>
      <x:c r="E28" s="20" t="str">
        <x:v>matte adhesive tag stock</x:v>
      </x:c>
      <x:c r="F28" s="20" t="str">
        <x:v>not_applicable</x:v>
      </x:c>
      <x:c r="G28" s="20" t="str">
        <x:v>RC03-INT-R1</x:v>
      </x:c>
      <x:c r="H28" s="20" t="str">
        <x:v>{"stock_type":null,"adhesive_type":null,"full_surface_adhesive":null,"tile_width_mm":null,"tile_height_mm":null,"detection_edge_mm":null,"stock_thickness_mm":null,"compressed_adhesive_thickness_mm":null,"measured_optical_plane_z_mm":null,"matte_finish_result":null,"curl_result":null}</x:v>
      </x:c>
      <x:c r="I28" s="20" t="str">
        <x:v>{}</x:v>
      </x:c>
      <x:c r="J28" s="20" t="str">
        <x:v>Measure the direct-adhesive tag stock and compressed adhesive, confirm a 55.0 mm tile with 40.0 mm detection edge, matte finish, full-area adhesion, and no curl; optical Z is adhesive plus stock above the finished sealed board.</x:v>
      </x:c>
    </x:row>
    <x:row r="29">
      <x:c r="A29" s="16" t="str">
        <x:v>camera_mount_interface_measured</x:v>
      </x:c>
      <x:c r="B29" s="16" t="str">
        <x:v>measurement</x:v>
      </x:c>
      <x:c r="C29" s="16" t="str">
        <x:v>NOT_TESTED</x:v>
      </x:c>
      <x:c r="D29" s="16" t="str">
        <x:v>petg_general_0p4</x:v>
      </x:c>
      <x:c r="E29" s="16" t="str">
        <x:v>hardware</x:v>
      </x:c>
      <x:c r="F29" s="16" t="n">
        <x:v>0.4</x:v>
      </x:c>
      <x:c r="G29" s="16" t="str">
        <x:v>RC03-INT-R1</x:v>
      </x:c>
      <x:c r="H29" s="16" t="str">
        <x:v>{"camera_model":null,"camera_thread":null,"safe_thread_engagement_mm":null,"selected_camera_screw_length_mm":null,"selected_tslot_screw_length_mm":null,"strap_width_mm":null}</x:v>
      </x:c>
      <x:c r="I29" s="16" t="str">
        <x:v>{}</x:v>
      </x:c>
      <x:c r="J29" s="16" t="str">
        <x:v>Measure the camera thread, screw engagement, crossbar fasteners, and selected strap.</x:v>
      </x:c>
    </x:row>
    <x:row r="30">
      <x:c r="A30" s="20" t="str">
        <x:v>fixed_camera_fallback_architecture_released</x:v>
      </x:c>
      <x:c r="B30" s="20" t="str">
        <x:v>engineering_release</x:v>
      </x:c>
      <x:c r="C30" s="20" t="str">
        <x:v>NOT_TESTED</x:v>
      </x:c>
      <x:c r="D30" s="20" t="str">
        <x:v>camera_architecture_control</x:v>
      </x:c>
      <x:c r="E30" s="20" t="str">
        <x:v>not_applicable</x:v>
      </x:c>
      <x:c r="F30" s="20" t="str">
        <x:v>not_applicable</x:v>
      </x:c>
      <x:c r="G30" s="20" t="str">
        <x:v>RC03-INT-R1</x:v>
      </x:c>
      <x:c r="H30" s="20" t="str">
        <x:v>{"architecture_decision_status":null,"architecture_decision_revision":null,"architecture_decision_sha256":null,"fixed_camera_fallback_authorized":null,"fallback_authorization_reference":null}</x:v>
      </x:c>
      <x:c r="I30" s="20" t="str">
        <x:v>{}</x:v>
      </x:c>
      <x:c r="J30" s="20" t="str">
        <x:v>This gate may PASS only after config/camera_architecture_decision.json closes the engineering alignment hold under a controlled revision and explicitly authorizes the independent fixed-camera fallback. Record the matching decision status, revision, exact file SHA-256, and authorization reference; selecting camera_mast_optional is not release authority.</x:v>
      </x:c>
    </x:row>
    <x:row r="31">
      <x:c r="A31" s="16" t="str">
        <x:v>geometry_matches_measurements</x:v>
      </x:c>
      <x:c r="B31" s="16" t="str">
        <x:v>release</x:v>
      </x:c>
      <x:c r="C31" s="16" t="str">
        <x:v>NOT_TESTED</x:v>
      </x:c>
      <x:c r="D31" s="16" t="str">
        <x:v>generated_geometry</x:v>
      </x:c>
      <x:c r="E31" s="16" t="str">
        <x:v>multiple</x:v>
      </x:c>
      <x:c r="F31" s="16" t="n">
        <x:v>0.4</x:v>
      </x:c>
      <x:c r="G31" s="16" t="str">
        <x:v>RC03-INT-R1</x:v>
      </x:c>
      <x:c r="H31" s="16" t="str">
        <x:v>{"design_revision":null,"effective_parameters_file":null,"measurement_record_revision":null,"regeneration_completed":null,"affected_parts_reviewed":null}</x:v>
      </x:c>
      <x:c r="I31" s="16" t="str">
        <x:v>{}</x:v>
      </x:c>
      <x:c r="J31" s="16" t="str">
        <x:v>Confirm all PASS measurement/coupon selections match config/parameters.json for this design revision.</x:v>
      </x:c>
    </x:row>
    <x:row r="32">
      <x:c r="A32" s="20" t="str">
        <x:v>qidi_studio_roundtrip_confirmed</x:v>
      </x:c>
      <x:c r="B32" s="20" t="str">
        <x:v>release</x:v>
      </x:c>
      <x:c r="C32" s="20" t="str">
        <x:v>NOT_TESTED</x:v>
      </x:c>
      <x:c r="D32" s="20" t="str">
        <x:v>all_active_profiles</x:v>
      </x:c>
      <x:c r="E32" s="20" t="str">
        <x:v>multiple</x:v>
      </x:c>
      <x:c r="F32" s="20" t="n">
        <x:v>0.4</x:v>
      </x:c>
      <x:c r="G32" s="20" t="str">
        <x:v>RC03-INT-R1</x:v>
      </x:c>
      <x:c r="H32" s="20" t="str">
        <x:v>{"qidi_studio_version":null,"validated_job_ids":[],"saved_profile_revision_by_job":{},"geometry_scale_percent_by_job":{},"object_count_by_job":{},"critical_layer_preview_pass_by_job":{},"native_project_sha256_by_job":{},"evidence_reference_by_job":{}}</x:v>
      </x:c>
      <x:c r="I32" s="20" t="str">
        <x:v>{}</x:v>
      </x:c>
      <x:c r="J32" s="20" t="str">
        <x:v>For each production job: import, slice, save, reopen, and inspect without auto-scaling or losing objects/settings; record the job-specific native-project hash and preview evidence.</x:v>
      </x:c>
    </x:row>
    <x:row r="33">
      <x:c r="A33" s="16" t="str">
        <x:v>adapter_retention_method_selected</x:v>
      </x:c>
      <x:c r="B33" s="16" t="str">
        <x:v>release</x:v>
      </x:c>
      <x:c r="C33" s="16" t="str">
        <x:v>NOT_TESTED</x:v>
      </x:c>
      <x:c r="D33" s="16" t="str">
        <x:v>petg_adapter_0p4</x:v>
      </x:c>
      <x:c r="E33" s="16" t="str">
        <x:v>hardware</x:v>
      </x:c>
      <x:c r="F33" s="16" t="n">
        <x:v>0.4</x:v>
      </x:c>
      <x:c r="G33" s="16" t="str">
        <x:v>RC03-INT-R1</x:v>
      </x:c>
      <x:c r="H33" s="16" t="str">
        <x:v>{"route":null,"retention_method":null,"hardware_or_adhesive_spec":null,"dry_fit_pull_result":null,"removability_result":null,"plastic_compatibility_result":null}</x:v>
      </x:c>
      <x:c r="I33" s="16" t="str">
        <x:v>{}</x:v>
      </x:c>
      <x:c r="J33" s="16" t="str">
        <x:v>Select and document measured dry-fit retention or the minimal plastics-compatible removable compound. A thin-wall radial screw is not part of RC03.</x:v>
      </x:c>
    </x:row>
    <x:row r="34">
      <x:c r="A34" s="20" t="str">
        <x:v>keyboard_corner_coupon_pass</x:v>
      </x:c>
      <x:c r="B34" s="20" t="str">
        <x:v>coupon</x:v>
      </x:c>
      <x:c r="C34" s="20" t="str">
        <x:v>NOT_TESTED</x:v>
      </x:c>
      <x:c r="D34" s="20" t="str">
        <x:v>abs_rapido_tray_structural_0p4</x:v>
      </x:c>
      <x:c r="E34" s="20" t="str">
        <x:v>QIDI ABS Rapido</x:v>
      </x:c>
      <x:c r="F34" s="20" t="n">
        <x:v>0.4</x:v>
      </x:c>
      <x:c r="G34" s="20" t="str">
        <x:v>RC03-INT-R1</x:v>
      </x:c>
      <x:c r="H34" s="20" t="str">
        <x:v>{"fit_result":null,"selected_compensation_mm":null}</x:v>
      </x:c>
      <x:c r="I34" s="20" t="str">
        <x:v>{}</x:v>
      </x:c>
      <x:c r="J34" s="20" t="str">
        <x:v>Use the actual keyboard only to confirm front/side corner clearance at the two printed datum walls. This coupon does not represent the direct-board support plane or release rocking.</x:v>
      </x:c>
    </x:row>
    <x:row r="35">
      <x:c r="A35" s="16" t="str">
        <x:v>keyboard_seam_coupon_pass</x:v>
      </x:c>
      <x:c r="B35" s="16" t="str">
        <x:v>coupon</x:v>
      </x:c>
      <x:c r="C35" s="16" t="str">
        <x:v>NOT_TESTED</x:v>
      </x:c>
      <x:c r="D35" s="16" t="str">
        <x:v>abs_rapido_tray_structural_0p4</x:v>
      </x:c>
      <x:c r="E35" s="16" t="str">
        <x:v>QIDI ABS Rapido</x:v>
      </x:c>
      <x:c r="F35" s="16" t="n">
        <x:v>0.4</x:v>
      </x:c>
      <x:c r="G35" s="16" t="str">
        <x:v>RC03-INT-R1</x:v>
      </x:c>
      <x:c r="H35" s="16" t="str">
        <x:v>{"fit_result":null,"printed_post_diameter_mm":null,"selected_round_socket_mm":null,"selected_radial_slot_width_mm":null,"rocking_or_yaw_result":null,"tool_free_release_result":null}</x:v>
      </x:c>
      <x:c r="I35" s="16" t="str">
        <x:v>{}</x:v>
      </x:c>
      <x:c r="J35" s="16" t="str">
        <x:v>After accepting job 01, use its measured 8 mm master posts with job 00A's seam round/radial ladder. Independently select the smallest 8.2/8.3/8.4 mm round-socket diameter and radial-slot width that seat by hand without perceptible rocking/yaw and release without tools. Record both values separately. Station-pair gap and flush are measured after job 02, not on this coupon.</x:v>
      </x:c>
    </x:row>
    <x:row r="36">
      <x:c r="A36" s="20" t="str">
        <x:v>tray_clearance_holes_coupon_pass</x:v>
      </x:c>
      <x:c r="B36" s="20" t="str">
        <x:v>coupon</x:v>
      </x:c>
      <x:c r="C36" s="20" t="str">
        <x:v>NOT_TESTED</x:v>
      </x:c>
      <x:c r="D36" s="20" t="str">
        <x:v>abs_rapido_tray_structural_0p4</x:v>
      </x:c>
      <x:c r="E36" s="20" t="str">
        <x:v>QIDI ABS Rapido</x:v>
      </x:c>
      <x:c r="F36" s="20" t="n">
        <x:v>0.4</x:v>
      </x:c>
      <x:c r="G36" s="20" t="str">
        <x:v>RC03-INT-R1</x:v>
      </x:c>
      <x:c r="H36" s="20" t="str">
        <x:v>{"board_screw_major_diameter_mm":null,"smallest_free_hole_mm":null,"m4_washer_od_mm":null,"washer_fit_result":null}</x:v>
      </x:c>
      <x:c r="I36" s="20" t="str">
        <x:v>{}</x:v>
      </x:c>
      <x:c r="J36" s="20" t="str">
        <x:v>Record the smallest freely passing tray-profile hole and the accepted M4 washer recess diameter for the selected board hardware.</x:v>
      </x:c>
    </x:row>
    <x:row r="37">
      <x:c r="A37" s="16" t="str">
        <x:v>keyboard_station_registration_coupon_pass</x:v>
      </x:c>
      <x:c r="B37" s="16" t="str">
        <x:v>coupon</x:v>
      </x:c>
      <x:c r="C37" s="16" t="str">
        <x:v>NOT_TESTED</x:v>
      </x:c>
      <x:c r="D37" s="16" t="str">
        <x:v>abs_rapido_tray_structural_0p4</x:v>
      </x:c>
      <x:c r="E37" s="16" t="str">
        <x:v>QIDI ABS Rapido</x:v>
      </x:c>
      <x:c r="F37" s="16" t="n">
        <x:v>0.4</x:v>
      </x:c>
      <x:c r="G37" s="16" t="str">
        <x:v>RC03-INT-R1</x:v>
      </x:c>
      <x:c r="H37" s="16" t="str">
        <x:v>{"actual_pin_diameter_measurements_mm":[],"selected_round_socket_mm":null,"selected_radial_slot_width_mm":null,"selected_radial_slot_length_mm":null,"insertion_removal_cycles":null,"lateral_play_mm":null,"inversion_retention_result":null,"crack_or_whitening_result":null}</x:v>
      </x:c>
      <x:c r="I37" s="16" t="str">
        <x:v>{}</x:v>
      </x:c>
      <x:c r="J37" s="16" t="str">
        <x:v>Select the smallest hand-serviceable round/slot pair in the exact keyboard-station profile. Require 20 cycles, no cracking or whitening, and lateral play no greater than 0.15 mm.</x:v>
      </x:c>
    </x:row>
    <x:row r="38">
      <x:c r="A38" s="20" t="str">
        <x:v>phone_station_registration_coupon_pass</x:v>
      </x:c>
      <x:c r="B38" s="20" t="str">
        <x:v>coupon</x:v>
      </x:c>
      <x:c r="C38" s="20" t="str">
        <x:v>NOT_TESTED</x:v>
      </x:c>
      <x:c r="D38" s="20" t="str">
        <x:v>abs_rapido_cradle_0p4</x:v>
      </x:c>
      <x:c r="E38" s="20" t="str">
        <x:v>QIDI ABS Rapido</x:v>
      </x:c>
      <x:c r="F38" s="20" t="n">
        <x:v>0.4</x:v>
      </x:c>
      <x:c r="G38" s="20" t="str">
        <x:v>RC03-INT-R1</x:v>
      </x:c>
      <x:c r="H38" s="20" t="str">
        <x:v>{"actual_pin_diameter_measurements_mm":[],"selected_round_socket_mm":null,"selected_radial_slot_width_mm":null,"selected_radial_slot_length_mm":null,"insertion_removal_cycles":null,"lateral_play_mm":null,"inversion_retention_result":null,"crack_or_whitening_result":null}</x:v>
      </x:c>
      <x:c r="I38" s="20" t="str">
        <x:v>{}</x:v>
      </x:c>
      <x:c r="J38" s="20" t="str">
        <x:v>Repeat the locator selection in the exact phone/TCP station profile. Require 20 hand cycles, no cracking or whitening, and lateral play no greater than 0.15 mm.</x:v>
      </x:c>
    </x:row>
    <x:row r="39">
      <x:c r="A39" s="16" t="str">
        <x:v>phone_station_m3_insert_coupon_pass</x:v>
      </x:c>
      <x:c r="B39" s="16" t="str">
        <x:v>coupon</x:v>
      </x:c>
      <x:c r="C39" s="16" t="str">
        <x:v>NOT_TESTED</x:v>
      </x:c>
      <x:c r="D39" s="16" t="str">
        <x:v>abs_rapido_cradle_0p4</x:v>
      </x:c>
      <x:c r="E39" s="16" t="str">
        <x:v>QIDI ABS Rapido</x:v>
      </x:c>
      <x:c r="F39" s="16" t="n">
        <x:v>0.4</x:v>
      </x:c>
      <x:c r="G39" s="16" t="str">
        <x:v>RC03-INT-R1</x:v>
      </x:c>
      <x:c r="H39" s="16" t="str">
        <x:v>{"selected_pocket_mm":null,"insert_od_mm":null,"insert_length_mm":null,"installed_depth_mm":null,"retention_result":null}</x:v>
      </x:c>
      <x:c r="I39" s="16" t="str">
        <x:v>{}</x:v>
      </x:c>
      <x:c r="J39" s="16" t="str">
        <x:v>Use the PHONE-labeled gauge whose 6.2 mm-deep pockets reproduce the station receiver's 0.3 mm floor. Install the production M3 insert vertically in the same service-station profile and record squareness, depth, floor condition, and resistance to rotation; repeat the insert check on the first station article before release.</x:v>
      </x:c>
    </x:row>
    <x:row r="40">
      <x:c r="A40" s="20" t="str">
        <x:v>general_clearance_holes_coupon_pass</x:v>
      </x:c>
      <x:c r="B40" s="20" t="str">
        <x:v>coupon</x:v>
      </x:c>
      <x:c r="C40" s="20" t="str">
        <x:v>NOT_TESTED</x:v>
      </x:c>
      <x:c r="D40" s="20" t="str">
        <x:v>abs_rapido_general_0p4</x:v>
      </x:c>
      <x:c r="E40" s="20" t="str">
        <x:v>QIDI ABS Rapido</x:v>
      </x:c>
      <x:c r="F40" s="20" t="n">
        <x:v>0.4</x:v>
      </x:c>
      <x:c r="G40" s="20" t="str">
        <x:v>RC03-INT-R1</x:v>
      </x:c>
      <x:c r="H40" s="20" t="str">
        <x:v>{"m3_selected_mm":null,"m4_or_board_screw_selected_mm":null,"m5_selected_mm":null}</x:v>
      </x:c>
      <x:c r="I40" s="20" t="str">
        <x:v>{}</x:v>
      </x:c>
      <x:c r="J40" s="20" t="str">
        <x:v>Record the smallest freely passing general-profile QIDI ABS Rapido hole for each fastener family.</x:v>
      </x:c>
    </x:row>
    <x:row r="41">
      <x:c r="A41" s="16" t="str">
        <x:v>calibration_clearance_holes_coupon_pass</x:v>
      </x:c>
      <x:c r="B41" s="16" t="str">
        <x:v>coupon</x:v>
      </x:c>
      <x:c r="C41" s="16" t="str">
        <x:v>NOT_TESTED</x:v>
      </x:c>
      <x:c r="D41" s="16" t="str">
        <x:v>abs_rapido_calibration_0p4</x:v>
      </x:c>
      <x:c r="E41" s="16" t="str">
        <x:v>QIDI ABS Rapido</x:v>
      </x:c>
      <x:c r="F41" s="16" t="n">
        <x:v>0.4</x:v>
      </x:c>
      <x:c r="G41" s="16" t="str">
        <x:v>RC03-INT-R1</x:v>
      </x:c>
      <x:c r="H41" s="16" t="str">
        <x:v>{"m3_screw_major_diameter_mm":null,"smallest_free_hole_mm":null,"screw_head_d_mm":null,"m3_head_recess_d_mm":null,"fit_result":null}</x:v>
      </x:c>
      <x:c r="I41" s="16" t="str">
        <x:v>{}</x:v>
      </x:c>
      <x:c r="J41" s="16" t="str">
        <x:v>Using the exact calibration-puck profile and an actual M3 x 10 mm button-head screw from the intended hardware lot, record the screw major diameter and head diameter, the smallest freely passing 3.2/3.4/3.6 mm M3 hole, and the smallest H5.8/H6.2/H6.6 recess that seats the head below the surrounding face without forcing.</x:v>
      </x:c>
    </x:row>
    <x:row r="42">
      <x:c r="A42" s="20" t="str">
        <x:v>setup_hardware_coupon_pass</x:v>
      </x:c>
      <x:c r="B42" s="20" t="str">
        <x:v>coupon</x:v>
      </x:c>
      <x:c r="C42" s="20" t="str">
        <x:v>NOT_TESTED</x:v>
      </x:c>
      <x:c r="D42" s="20" t="str">
        <x:v>abs_rapido_general_0p4</x:v>
      </x:c>
      <x:c r="E42" s="20" t="str">
        <x:v>QIDI ABS Rapido</x:v>
      </x:c>
      <x:c r="F42" s="20" t="n">
        <x:v>0.4</x:v>
      </x:c>
      <x:c r="G42" s="20" t="str">
        <x:v>RC03-INT-R1</x:v>
      </x:c>
      <x:c r="H42" s="20" t="str">
        <x:v>{"m3_head_recess_d_mm":null,"m4_washer_od_mm":null,"m5_washer_od_mm":null,"camera_hex_ac_mm":null,"fit_result":null}</x:v>
      </x:c>
      <x:c r="I42" s="20" t="str">
        <x:v>{}</x:v>
      </x:c>
      <x:c r="J42" s="20" t="str">
        <x:v>Verify the production recess, washer, and camera-hex selections against the setup gauge.</x:v>
      </x:c>
    </x:row>
    <x:row r="43">
      <x:c r="A43" s="16" t="str">
        <x:v>cradle_m4_washer_coupon_pass</x:v>
      </x:c>
      <x:c r="B43" s="16" t="str">
        <x:v>coupon</x:v>
      </x:c>
      <x:c r="C43" s="16" t="str">
        <x:v>NOT_TESTED</x:v>
      </x:c>
      <x:c r="D43" s="16" t="str">
        <x:v>abs_rapido_cradle_0p4</x:v>
      </x:c>
      <x:c r="E43" s="16" t="str">
        <x:v>QIDI ABS Rapido</x:v>
      </x:c>
      <x:c r="F43" s="16" t="n">
        <x:v>0.4</x:v>
      </x:c>
      <x:c r="G43" s="16" t="str">
        <x:v>RC03-INT-R1</x:v>
      </x:c>
      <x:c r="H43" s="16" t="str">
        <x:v>{"actual_washer_od_mm":null,"m4_washer_od_mm":null,"fit_result":null}</x:v>
      </x:c>
      <x:c r="I43" s="16" t="str">
        <x:v>{}</x:v>
      </x:c>
      <x:c r="J43" s="16" t="str">
        <x:v>Using the exact cradle profile, record the actual washer OD and the smallest recess that seats it flat without forcing.</x:v>
      </x:c>
    </x:row>
    <x:row r="44">
      <x:c r="A44" s="20" t="str">
        <x:v>precision_m3_head_coupon_pass</x:v>
      </x:c>
      <x:c r="B44" s="20" t="str">
        <x:v>coupon</x:v>
      </x:c>
      <x:c r="C44" s="20" t="str">
        <x:v>NOT_TESTED</x:v>
      </x:c>
      <x:c r="D44" s="20" t="str">
        <x:v>abs_rapido_precision_0p4</x:v>
      </x:c>
      <x:c r="E44" s="20" t="str">
        <x:v>QIDI ABS Rapido</x:v>
      </x:c>
      <x:c r="F44" s="20" t="n">
        <x:v>0.4</x:v>
      </x:c>
      <x:c r="G44" s="20" t="str">
        <x:v>RC03-INT-R1</x:v>
      </x:c>
      <x:c r="H44" s="20" t="str">
        <x:v>{"screw_head_d_mm":null,"m3_head_recess_d_mm":null,"fit_result":null}</x:v>
      </x:c>
      <x:c r="I44" s="20" t="str">
        <x:v>{}</x:v>
      </x:c>
      <x:c r="J44" s="20" t="str">
        <x:v>Using the exact precision-tool profile, record the actual M3 screw-head diameter and the smallest recess that seats it below the surrounding face.</x:v>
      </x:c>
    </x:row>
    <x:row r="45">
      <x:c r="A45" s="16" t="str">
        <x:v>phone_width_coupon_pass</x:v>
      </x:c>
      <x:c r="B45" s="16" t="str">
        <x:v>coupon</x:v>
      </x:c>
      <x:c r="C45" s="16" t="str">
        <x:v>NOT_TESTED</x:v>
      </x:c>
      <x:c r="D45" s="16" t="str">
        <x:v>abs_rapido_cradle_0p4</x:v>
      </x:c>
      <x:c r="E45" s="16" t="str">
        <x:v>QIDI ABS Rapido</x:v>
      </x:c>
      <x:c r="F45" s="16" t="n">
        <x:v>0.4</x:v>
      </x:c>
      <x:c r="G45" s="16" t="str">
        <x:v>RC03-INT-R1</x:v>
      </x:c>
      <x:c r="H45" s="16" t="str">
        <x:v>{"fit_result":null,"lateral_clearance_mm":null,"rail_height_result":null}</x:v>
      </x:c>
      <x:c r="I45" s="16" t="str">
        <x:v>{}</x:v>
      </x:c>
      <x:c r="J45" s="16" t="str">
        <x:v>Confirm the final phone/case seats by hand with measured slight lateral clearance.</x:v>
      </x:c>
    </x:row>
    <x:row r="46">
      <x:c r="A46" s="20" t="str">
        <x:v>phone_m4_captive_nut_coupon_pass</x:v>
      </x:c>
      <x:c r="B46" s="20" t="str">
        <x:v>coupon</x:v>
      </x:c>
      <x:c r="C46" s="20" t="str">
        <x:v>NOT_TESTED</x:v>
      </x:c>
      <x:c r="D46" s="20" t="str">
        <x:v>abs_rapido_cradle_0p4</x:v>
      </x:c>
      <x:c r="E46" s="20" t="str">
        <x:v>QIDI ABS Rapido</x:v>
      </x:c>
      <x:c r="F46" s="20" t="n">
        <x:v>0.4</x:v>
      </x:c>
      <x:c r="G46" s="20" t="str">
        <x:v>RC03-INT-R1</x:v>
      </x:c>
      <x:c r="H46" s="20" t="str">
        <x:v>{"actual_nut_across_flats_mm":null,"actual_nut_thickness_mm":null,"selected_channel_across_flats_mm":null,"selected_channel_depth_mm":null,"horizontal_screw_axis_result":null,"installation_result":null,"spin_result_after_20_cycles":null}</x:v>
      </x:c>
      <x:c r="I46" s="20" t="str">
        <x:v>{}</x:v>
      </x:c>
      <x:c r="J46" s="20" t="str">
        <x:v>Use the exact service-station profile to select the smallest 7.2/7.4/7.6 mm top-loading M4 nut channel that accepts the measured nut, keeps the horizontal clamp screw axis clear, and cannot spin after 20 screw cycles.</x:v>
      </x:c>
    </x:row>
    <x:row r="47">
      <x:c r="A47" s="16" t="str">
        <x:v>cable_tie_saddle_coupon_pass</x:v>
      </x:c>
      <x:c r="B47" s="16" t="str">
        <x:v>coupon</x:v>
      </x:c>
      <x:c r="C47" s="16" t="str">
        <x:v>NOT_TESTED</x:v>
      </x:c>
      <x:c r="D47" s="16" t="str">
        <x:v>abs_rapido_cradle_0p4</x:v>
      </x:c>
      <x:c r="E47" s="16" t="str">
        <x:v>QIDI ABS Rapido</x:v>
      </x:c>
      <x:c r="F47" s="16" t="n">
        <x:v>0.4</x:v>
      </x:c>
      <x:c r="G47" s="16" t="str">
        <x:v>RC03-INT-R1</x:v>
      </x:c>
      <x:c r="H47" s="16" t="str">
        <x:v>{"selected_slot_width_mm":null,"selected_tie_width_mm":null,"feed_result":null,"saddle_crack_result":null,"cable_clearance_result":null}</x:v>
      </x:c>
      <x:c r="I47" s="16" t="str">
        <x:v>{}</x:v>
      </x:c>
      <x:c r="J47" s="16" t="str">
        <x:v>Feed the selected tie through the saddle and confirm secure clearance without cracking.</x:v>
      </x:c>
    </x:row>
    <x:row r="48">
      <x:c r="A48" s="20" t="str">
        <x:v>compliant_tool_m3_insert_coupon_pass</x:v>
      </x:c>
      <x:c r="B48" s="20" t="str">
        <x:v>coupon</x:v>
      </x:c>
      <x:c r="C48" s="20" t="str">
        <x:v>NOT_TESTED</x:v>
      </x:c>
      <x:c r="D48" s="20" t="str">
        <x:v>abs_rapido_precision_0p4</x:v>
      </x:c>
      <x:c r="E48" s="20" t="str">
        <x:v>QIDI ABS Rapido</x:v>
      </x:c>
      <x:c r="F48" s="20" t="n">
        <x:v>0.4</x:v>
      </x:c>
      <x:c r="G48" s="20" t="str">
        <x:v>RC03-INT-R1</x:v>
      </x:c>
      <x:c r="H48" s="20" t="str">
        <x:v>{"selected_pocket_mm":null,"insert_od_mm":null,"insert_length_mm":null,"installed_depth_mm":null,"retention_result":null}</x:v>
      </x:c>
      <x:c r="I48" s="20" t="str">
        <x:v>{}</x:v>
      </x:c>
      <x:c r="J48" s="20" t="str">
        <x:v>Use the TOOL-labeled gauge whose pockets reproduce the compliant tool body's 5 mm edge ligaments. Record the precision-profile M3 pocket that installs square without splitting, edge breakout, or spinning; repeat the insert check on the first article before releasing the tool body.</x:v>
      </x:c>
    </x:row>
    <x:row r="49">
      <x:c r="A49" s="16" t="str">
        <x:v>gripper_coupon_pass</x:v>
      </x:c>
      <x:c r="B49" s="16" t="str">
        <x:v>coupon</x:v>
      </x:c>
      <x:c r="C49" s="16" t="str">
        <x:v>NOT_TESTED</x:v>
      </x:c>
      <x:c r="D49" s="16" t="str">
        <x:v>abs_rapido_precision_0p4</x:v>
      </x:c>
      <x:c r="E49" s="16" t="str">
        <x:v>QIDI ABS Rapido</x:v>
      </x:c>
      <x:c r="F49" s="16" t="n">
        <x:v>0.4</x:v>
      </x:c>
      <x:c r="G49" s="16" t="str">
        <x:v>RC03-INT-R1</x:v>
      </x:c>
      <x:c r="H49" s="16" t="str">
        <x:v>{"selected_grip_setting":null,"shim_each_side_mm":null,"slip_result":null,"crush_result":null}</x:v>
      </x:c>
      <x:c r="I49" s="16" t="str">
        <x:v>{}</x:v>
      </x:c>
      <x:c r="J49" s="16" t="str">
        <x:v>Grip the production-face coupon without bottoming, rocking, slipping, or crushing.</x:v>
      </x:c>
    </x:row>
    <x:row r="50">
      <x:c r="A50" s="20" t="str">
        <x:v>spring_fit_coupon_pass</x:v>
      </x:c>
      <x:c r="B50" s="20" t="str">
        <x:v>coupon</x:v>
      </x:c>
      <x:c r="C50" s="20" t="str">
        <x:v>NOT_TESTED</x:v>
      </x:c>
      <x:c r="D50" s="20" t="str">
        <x:v>abs_rapido_precision_0p4</x:v>
      </x:c>
      <x:c r="E50" s="20" t="str">
        <x:v>QIDI ABS Rapido</x:v>
      </x:c>
      <x:c r="F50" s="20" t="n">
        <x:v>0.4</x:v>
      </x:c>
      <x:c r="G50" s="20" t="str">
        <x:v>RC03-INT-R1</x:v>
      </x:c>
      <x:c r="H50" s="20" t="str">
        <x:v>{"selected_step_mm":null,"post_fit_result":null,"cup_fit_result":null,"binding_result":null}</x:v>
      </x:c>
      <x:c r="I50" s="20" t="str">
        <x:v>{}</x:v>
      </x:c>
      <x:c r="J50" s="20" t="str">
        <x:v>Record the stepped spring seat and verify the spring fits without binding.</x:v>
      </x:c>
    </x:row>
    <x:row r="51">
      <x:c r="A51" s="16" t="str">
        <x:v>stylus_gauge_coupon_pass</x:v>
      </x:c>
      <x:c r="B51" s="16" t="str">
        <x:v>coupon</x:v>
      </x:c>
      <x:c r="C51" s="16" t="str">
        <x:v>NOT_TESTED</x:v>
      </x:c>
      <x:c r="D51" s="16" t="str">
        <x:v>petg_adapter_0p4</x:v>
      </x:c>
      <x:c r="E51" s="16" t="str">
        <x:v>PETG</x:v>
      </x:c>
      <x:c r="F51" s="16" t="n">
        <x:v>0.4</x:v>
      </x:c>
      <x:c r="G51" s="16" t="str">
        <x:v>RC03-INT-R1</x:v>
      </x:c>
      <x:c r="H51" s="16" t="str">
        <x:v>{"selected_nominal_mm":null,"sliding_fit_result":null,"excess_play_result":null}</x:v>
      </x:c>
      <x:c r="I51" s="16" t="str">
        <x:v>{}</x:v>
      </x:c>
      <x:c r="J51" s="16" t="str">
        <x:v>Record the smallest adapter-profile stylus hole that slides freely without excessive play.</x:v>
      </x:c>
    </x:row>
    <x:row r="52">
      <x:c r="A52" s="20" t="str">
        <x:v>phone_no_go_clearance_limit_approved</x:v>
      </x:c>
      <x:c r="B52" s="20" t="str">
        <x:v>engineering_release</x:v>
      </x:c>
      <x:c r="C52" s="20" t="str">
        <x:v>NOT_TESTED</x:v>
      </x:c>
      <x:c r="D52" s="20" t="str">
        <x:v>phone_fixture_limits</x:v>
      </x:c>
      <x:c r="E52" s="20" t="str">
        <x:v>device</x:v>
      </x:c>
      <x:c r="F52" s="20" t="str">
        <x:v>not_applicable</x:v>
      </x:c>
      <x:c r="G52" s="20" t="str">
        <x:v>RC03-INT-R1</x:v>
      </x:c>
      <x:c r="H52" s="20" t="str">
        <x:v>{"approval_id":null,"approved_by":null,"approved_at":null,"minimum_clearance_mm":null,"maximum_measurement_uncertainty_mm":null,"engineering_rationale":null,"evidence_reference":null}</x:v>
      </x:c>
      <x:c r="I52" s="20" t="str">
        <x:v>{}</x:v>
      </x:c>
      <x:c r="J52" s="20" t="str">
        <x:v>A responsible engineering reviewer must approve a positive minimum no-go clearance and a smaller maximum measurement uncertainty before phone geometry or clamp contact is accepted. Operators may not choose the limit.</x:v>
      </x:c>
    </x:row>
    <x:row r="53">
      <x:c r="A53" s="16" t="str">
        <x:v>phone_tpu_retention_limits_approved</x:v>
      </x:c>
      <x:c r="B53" s="16" t="str">
        <x:v>engineering_release</x:v>
      </x:c>
      <x:c r="C53" s="16" t="str">
        <x:v>NOT_TESTED</x:v>
      </x:c>
      <x:c r="D53" s="16" t="str">
        <x:v>phone_tpu_retention_limits</x:v>
      </x:c>
      <x:c r="E53" s="16" t="str">
        <x:v>TPU 95A</x:v>
      </x:c>
      <x:c r="F53" s="16" t="n">
        <x:v>0.4</x:v>
      </x:c>
      <x:c r="G53" s="16" t="str">
        <x:v>RC03-INT-R1</x:v>
      </x:c>
      <x:c r="H53" s="16" t="str">
        <x:v>{"approval_id":null,"approved_by":null,"approved_at":null,"minimum_pull_force_n":null,"minimum_proof_duration_s":null,"force_gauge_required_range_n":null,"force_gauge_required_resolution_n":null,"engineering_rationale":null,"evidence_reference":null}</x:v>
      </x:c>
      <x:c r="I53" s="16" t="str">
        <x:v>{}</x:v>
      </x:c>
      <x:c r="J53" s="16" t="str">
        <x:v>A responsible engineering reviewer must approve the positive phone-tip pull force and proof duration plus a suitable gauge range and resolution before Job 05A retention qualification. Operators may not choose the limits.</x:v>
      </x:c>
    </x:row>
    <x:row r="54">
      <x:c r="A54" s="20" t="str">
        <x:v>phone_tpu_retention_coupon_pass</x:v>
      </x:c>
      <x:c r="B54" s="20" t="str">
        <x:v>coupon</x:v>
      </x:c>
      <x:c r="C54" s="20" t="str">
        <x:v>NOT_TESTED</x:v>
      </x:c>
      <x:c r="D54" s="20" t="str">
        <x:v>tpu95a_0p4</x:v>
      </x:c>
      <x:c r="E54" s="20" t="str">
        <x:v>TPU 95A</x:v>
      </x:c>
      <x:c r="F54" s="20" t="n">
        <x:v>0.4</x:v>
      </x:c>
      <x:c r="G54" s="20" t="str">
        <x:v>RC03-INT-R1</x:v>
      </x:c>
      <x:c r="H54" s="20" t="str">
        <x:v>{"approved_limits_id":null,"first_article_job":null,"installation_result":null,"axial_pull_test_method":null,"minimum_pull_force_n":null,"proof_duration_s":null,"measured_pull_force_n":null,"pull_off_result":null,"contact_face_result":null}</x:v>
      </x:c>
      <x:c r="I54" s="20" t="str">
        <x:v>{}</x:v>
      </x:c>
      <x:c r="J54" s="20" t="str">
        <x:v>Use the PASS engineering release in phone_tpu_retention_limits_approved. Test the Job 05A first article on the M4 peg with a calibrated force gauge and record the approval ID, approved minimum force, achieved duration, method, measured force, and pull-off result.</x:v>
      </x:c>
    </x:row>
    <x:row r="55">
      <x:c r="A55" s="16" t="str">
        <x:v>keyboard_tpu_retention_coupon_pass</x:v>
      </x:c>
      <x:c r="B55" s="16" t="str">
        <x:v>coupon</x:v>
      </x:c>
      <x:c r="C55" s="16" t="str">
        <x:v>NOT_TESTED</x:v>
      </x:c>
      <x:c r="D55" s="16" t="str">
        <x:v>tpu95a_0p4</x:v>
      </x:c>
      <x:c r="E55" s="16" t="str">
        <x:v>TPU 95A</x:v>
      </x:c>
      <x:c r="F55" s="16" t="n">
        <x:v>0.4</x:v>
      </x:c>
      <x:c r="G55" s="16" t="str">
        <x:v>RC03-INT-R1</x:v>
      </x:c>
      <x:c r="H55" s="16" t="str">
        <x:v>{"approved_limits_id":null,"first_article_job":null,"installation_result":null,"axial_pull_test_method":null,"minimum_pull_force_n":null,"proof_duration_s":null,"measured_pull_force_n":null,"pull_off_result":null,"contact_face_result":null}</x:v>
      </x:c>
      <x:c r="I55" s="16" t="str">
        <x:v>{}</x:v>
      </x:c>
      <x:c r="J55" s="16" t="str">
        <x:v>Use the keyboard-rod route values in the PASS tool_force_tcp_limits_approved record. Test the Job 05C first article on the 6 mm peg with a calibrated force gauge and record the approval ID, force, duration, method, and pull-off result.</x:v>
      </x:c>
    </x:row>
    <x:row r="56">
      <x:c r="A56" s="20" t="str">
        <x:v>asa_mast_socket_coupon_pass</x:v>
      </x:c>
      <x:c r="B56" s="20" t="str">
        <x:v>coupon</x:v>
      </x:c>
      <x:c r="C56" s="20" t="str">
        <x:v>NOT_TESTED</x:v>
      </x:c>
      <x:c r="D56" s="20" t="str">
        <x:v>asa_structural_0p4</x:v>
      </x:c>
      <x:c r="E56" s="20" t="str">
        <x:v>ASA</x:v>
      </x:c>
      <x:c r="F56" s="20" t="n">
        <x:v>0.4</x:v>
      </x:c>
      <x:c r="G56" s="20" t="str">
        <x:v>RC03-INT-R1</x:v>
      </x:c>
      <x:c r="H56" s="20" t="str">
        <x:v>{"selected_socket_mm":null,"extrusion_x_mm":null,"extrusion_y_mm":null,"fit_result":null}</x:v>
      </x:c>
      <x:c r="I56" s="20" t="str">
        <x:v>{}</x:v>
      </x:c>
      <x:c r="J56" s="20" t="str">
        <x:v>Record the same-profile ASA socket that fits the measured extrusion without rocking.</x:v>
      </x:c>
    </x:row>
    <x:row r="57">
      <x:c r="A57" s="16" t="str">
        <x:v>asa_m5_nut_coupon_pass</x:v>
      </x:c>
      <x:c r="B57" s="16" t="str">
        <x:v>coupon</x:v>
      </x:c>
      <x:c r="C57" s="16" t="str">
        <x:v>NOT_TESTED</x:v>
      </x:c>
      <x:c r="D57" s="16" t="str">
        <x:v>asa_structural_0p4</x:v>
      </x:c>
      <x:c r="E57" s="16" t="str">
        <x:v>ASA</x:v>
      </x:c>
      <x:c r="F57" s="16" t="n">
        <x:v>0.4</x:v>
      </x:c>
      <x:c r="G57" s="16" t="str">
        <x:v>RC03-INT-R1</x:v>
      </x:c>
      <x:c r="H57" s="16" t="str">
        <x:v>{"selected_hex_mm":null,"nut_across_flats_mm":null,"nut_thickness_mm":null,"retention_result":null}</x:v>
      </x:c>
      <x:c r="I57" s="16" t="str">
        <x:v>{}</x:v>
      </x:c>
      <x:c r="J57" s="16" t="str">
        <x:v>Record the ASA hex pocket that fully seats the actual M5 nut without splitting or spinning.</x:v>
      </x:c>
    </x:row>
    <x:row r="58">
      <x:c r="A58" s="20" t="str">
        <x:v>asa_m5_clearance_coupon_pass</x:v>
      </x:c>
      <x:c r="B58" s="20" t="str">
        <x:v>coupon</x:v>
      </x:c>
      <x:c r="C58" s="20" t="str">
        <x:v>NOT_TESTED</x:v>
      </x:c>
      <x:c r="D58" s="20" t="str">
        <x:v>asa_structural_0p4</x:v>
      </x:c>
      <x:c r="E58" s="20" t="str">
        <x:v>ASA</x:v>
      </x:c>
      <x:c r="F58" s="20" t="n">
        <x:v>0.4</x:v>
      </x:c>
      <x:c r="G58" s="20" t="str">
        <x:v>RC03-INT-R1</x:v>
      </x:c>
      <x:c r="H58" s="20" t="str">
        <x:v>{"bolt_major_diameter_mm":null,"selected_horizontal_hole_mm":null,"selected_base_hole_mm":null,"m5_washer_od_mm":null,"m5_washer_fit_result":null}</x:v>
      </x:c>
      <x:c r="I58" s="20" t="str">
        <x:v>{}</x:v>
      </x:c>
      <x:c r="J58" s="20" t="str">
        <x:v>Record the production-axis ASA M5 passage, base-hole, and washer fits.</x:v>
      </x:c>
    </x:row>
    <x:row r="59">
      <x:c r="A59" s="16" t="str">
        <x:v>tag_artwork_scale_pass</x:v>
      </x:c>
      <x:c r="B59" s="16" t="str">
        <x:v>first_article</x:v>
      </x:c>
      <x:c r="C59" s="16" t="str">
        <x:v>NOT_TESTED</x:v>
      </x:c>
      <x:c r="D59" s="16" t="str">
        <x:v>artwork_100_percent</x:v>
      </x:c>
      <x:c r="E59" s="16" t="str">
        <x:v>paper</x:v>
      </x:c>
      <x:c r="F59" s="16" t="str">
        <x:v>not_applicable</x:v>
      </x:c>
      <x:c r="G59" s="16" t="str">
        <x:v>RC03-INT-R1</x:v>
      </x:c>
      <x:c r="H59" s="16" t="str">
        <x:v>{"tag_id":null,"detection_edge_mm":null,"tile_size_mm":null,"print_scale_percent":null,"orientation_marked":null}</x:v>
      </x:c>
      <x:c r="I59" s="16" t="str">
        <x:v>{}</x:v>
      </x:c>
      <x:c r="J59" s="16" t="str">
        <x:v>Verify the tag detection edge, tile size, 100% scale, and +Y orientation mark.</x:v>
      </x:c>
    </x:row>
    <x:row r="60">
      <x:c r="A60" s="20" t="str">
        <x:v>board_setup_template_scale_pass</x:v>
      </x:c>
      <x:c r="B60" s="20" t="str">
        <x:v>first_article</x:v>
      </x:c>
      <x:c r="C60" s="20" t="str">
        <x:v>NOT_TESTED</x:v>
      </x:c>
      <x:c r="D60" s="20" t="str">
        <x:v>board_setup_template_actual_size</x:v>
      </x:c>
      <x:c r="E60" s="20" t="str">
        <x:v>paper</x:v>
      </x:c>
      <x:c r="F60" s="20" t="str">
        <x:v>not_applicable</x:v>
      </x:c>
      <x:c r="G60" s="20" t="str">
        <x:v>RC03-INT-R1</x:v>
      </x:c>
      <x:c r="H60" s="20" t="str">
        <x:v>{"template_revision":null,"selected_guide_path":null,"selected_guide_sha256":null,"source_layout_sha256":null,"x_scale_bar_mm":null,"y_scale_bar_mm":null,"page_scaling_setting":null,"all_sheet_registration_marks_result":null}</x:v>
      </x:c>
      <x:c r="I60" s="20" t="str">
        <x:v>{}</x:v>
      </x:c>
      <x:c r="J60" s="20" t="str">
        <x:v>Select either the released Letter tiled guide or the released 24 x 36 full-size guide, record that PDF path and SHA-256 plus the source workcell-layout SHA-256, and print at Actual Size. Require both independent 100 mm scale bars to measure 100.0 +/- 0.2 mm. For the tiled guide, verify every matching registration mark and the prescribed 12 mm overlaps; for the full-size guide, verify the board-edge, orientation, and scale controls. Do not use an overview, schedule, or assembly-map page as a drilling template.</x:v>
      </x:c>
    </x:row>
    <x:row r="61">
      <x:c r="A61" s="16" t="str">
        <x:v>phone_clamp_rail_first_article_pass</x:v>
      </x:c>
      <x:c r="B61" s="16" t="str">
        <x:v>first_article</x:v>
      </x:c>
      <x:c r="C61" s="16" t="str">
        <x:v>NOT_TESTED</x:v>
      </x:c>
      <x:c r="D61" s="16" t="str">
        <x:v>abs_rapido_cradle_0p4</x:v>
      </x:c>
      <x:c r="E61" s="16" t="str">
        <x:v>QIDI ABS Rapido</x:v>
      </x:c>
      <x:c r="F61" s="16" t="n">
        <x:v>0.4</x:v>
      </x:c>
      <x:c r="G61" s="16" t="str">
        <x:v>RC03-INT-R1</x:v>
      </x:c>
      <x:c r="H61" s="16" t="str">
        <x:v>{"job_id":null,"flatness_mm":null,"station_seating_result":null,"tower_ligament_result":null,"captive_nut_retention_result":null,"horizontal_screw_axis_result":null,"button_keepout_result":null,"service_removal_result":null}</x:v>
      </x:c>
      <x:c r="I61" s="16" t="str">
        <x:v>{}</x:v>
      </x:c>
      <x:c r="J61" s="16" t="str">
        <x:v>Inspect job 03C1 and prove the keeper/tower rail seats repeatably, preserves phone side-feature keepouts, and can be replaced without removing the service station.</x:v>
      </x:c>
    </x:row>
    <x:row r="62">
      <x:c r="A62" s="20" t="str">
        <x:v>keyboard_left_first_article_pass</x:v>
      </x:c>
      <x:c r="B62" s="20" t="str">
        <x:v>first_article</x:v>
      </x:c>
      <x:c r="C62" s="20" t="str">
        <x:v>NOT_TESTED</x:v>
      </x:c>
      <x:c r="D62" s="20" t="str">
        <x:v>abs_rapido_tray_structural_0p4</x:v>
      </x:c>
      <x:c r="E62" s="20" t="str">
        <x:v>QIDI ABS Rapido</x:v>
      </x:c>
      <x:c r="F62" s="20" t="n">
        <x:v>0.4</x:v>
      </x:c>
      <x:c r="G62" s="20" t="str">
        <x:v>RC03-INT-R1</x:v>
      </x:c>
      <x:c r="H62" s="20" t="str">
        <x:v>{"job_id":null,"flatness_mm":null,"slot_fit_result":null,"washer_track_result":null,"datum_surface_result":null,"seam_key_result":null}</x:v>
      </x:c>
      <x:c r="I62" s="20" t="str">
        <x:v>{}</x:v>
      </x:c>
      <x:c r="J62" s="20" t="str">
        <x:v>Inspect cooled job 01 as the pinned master station before releasing the matching slave station.</x:v>
      </x:c>
    </x:row>
    <x:row r="63">
      <x:c r="A63" s="16" t="str">
        <x:v>mast_foot_first_article_pass</x:v>
      </x:c>
      <x:c r="B63" s="16" t="str">
        <x:v>first_article</x:v>
      </x:c>
      <x:c r="C63" s="16" t="str">
        <x:v>NOT_TESTED</x:v>
      </x:c>
      <x:c r="D63" s="16" t="str">
        <x:v>asa_structural_0p4</x:v>
      </x:c>
      <x:c r="E63" s="16" t="str">
        <x:v>ASA</x:v>
      </x:c>
      <x:c r="F63" s="16" t="n">
        <x:v>0.4</x:v>
      </x:c>
      <x:c r="G63" s="16" t="str">
        <x:v>RC03-INT-R1</x:v>
      </x:c>
      <x:c r="H63" s="16" t="str">
        <x:v>{"job_id":null,"socket_fit_result":null,"nut_fit_result":null,"bolt_clamp_result":null,"initial_crack_result":null,"crack_result_after_24h":null,"base_flatness_mm":null}</x:v>
      </x:c>
      <x:c r="I63" s="16" t="str">
        <x:v>{}</x:v>
      </x:c>
      <x:c r="J63" s="16" t="str">
        <x:v>Fully assemble job 07A and verify fit, clamp function, flatness, and no cracks after 24 hours.</x:v>
      </x:c>
    </x:row>
    <x:row r="64">
      <x:c r="A64" s="20" t="str">
        <x:v>keyboard_station_pair_postprint_pass</x:v>
      </x:c>
      <x:c r="B64" s="20" t="str">
        <x:v>postprint</x:v>
      </x:c>
      <x:c r="C64" s="20" t="str">
        <x:v>NOT_TESTED</x:v>
      </x:c>
      <x:c r="D64" s="20" t="str">
        <x:v>abs_rapido_tray_structural_0p4</x:v>
      </x:c>
      <x:c r="E64" s="20" t="str">
        <x:v>QIDI ABS Rapido</x:v>
      </x:c>
      <x:c r="F64" s="20" t="n">
        <x:v>0.4</x:v>
      </x:c>
      <x:c r="G64" s="20" t="str">
        <x:v>RC03-INT-R1</x:v>
      </x:c>
      <x:c r="H64" s="20" t="str">
        <x:v>{"jobs":null,"assembled_gap_mm":null,"flush_mismatch_mm":null,"overall_flatness_mm":null,"support_plane_flatness_mm":null,"keyboard_dry_fit_result":null,"slave_has_independent_locator_pins":null}</x:v>
      </x:c>
      <x:c r="I64" s="20" t="str">
        <x:v>{}</x:v>
      </x:c>
      <x:c r="J64" s="20" t="str">
        <x:v>Mate cooled jobs 01/02, verify the right station is a seam-located slave with no independent locator pair, and record seam gap, flushness, support-plane flatness, and keyboard dry fit.</x:v>
      </x:c>
    </x:row>
    <x:row r="65">
      <x:c r="A65" s="16" t="str">
        <x:v>keyboard_clamps_postprint_pass</x:v>
      </x:c>
      <x:c r="B65" s="16" t="str">
        <x:v>postprint</x:v>
      </x:c>
      <x:c r="C65" s="16" t="str">
        <x:v>NOT_TESTED</x:v>
      </x:c>
      <x:c r="D65" s="16" t="str">
        <x:v>abs_rapido_general_0p4</x:v>
      </x:c>
      <x:c r="E65" s="16" t="str">
        <x:v>QIDI ABS Rapido</x:v>
      </x:c>
      <x:c r="F65" s="16" t="n">
        <x:v>0.4</x:v>
      </x:c>
      <x:c r="G65" s="16" t="str">
        <x:v>RC03-INT-R1</x:v>
      </x:c>
      <x:c r="H65" s="16" t="str">
        <x:v>{"job_id":null,"quantity":null,"base_flatness_mm":null,"gusset_result":null,"slot_result":null,"pad_fit_result":null}</x:v>
      </x:c>
      <x:c r="I65" s="16" t="str">
        <x:v>{}</x:v>
      </x:c>
      <x:c r="J65" s="16" t="str">
        <x:v>Inspect both job 03B clamps and their pad interfaces.</x:v>
      </x:c>
    </x:row>
    <x:row r="66">
      <x:c r="A66" s="20" t="str">
        <x:v>phone_tcp_station_postprint_pass</x:v>
      </x:c>
      <x:c r="B66" s="20" t="str">
        <x:v>postprint</x:v>
      </x:c>
      <x:c r="C66" s="20" t="str">
        <x:v>NOT_TESTED</x:v>
      </x:c>
      <x:c r="D66" s="20" t="str">
        <x:v>abs_rapido_cradle_0p4</x:v>
      </x:c>
      <x:c r="E66" s="20" t="str">
        <x:v>QIDI ABS Rapido</x:v>
      </x:c>
      <x:c r="F66" s="20" t="n">
        <x:v>0.4</x:v>
      </x:c>
      <x:c r="G66" s="20" t="str">
        <x:v>RC03-INT-R1</x:v>
      </x:c>
      <x:c r="H66" s="20" t="str">
        <x:v>{"job_id":null,"base_flatness_mm":null,"receiver_seat_flatness_mm":null,"locator_socket_result":null,"base_contact_result":null,"rail_fit_result":null,"insert_squareness_result":null,"cable_route_result":null}</x:v>
      </x:c>
      <x:c r="I66" s="20" t="str">
        <x:v>{}</x:v>
      </x:c>
      <x:c r="J66" s="20" t="str">
        <x:v>Inspect the cooled phone/TCP station, including continuous flat base contact at all three retention zones, locator sockets, keyed receiver, fixed phone datums, replaceable-rail interface, and inserts; verify the cable route with the accepted rail-mounted saddle.</x:v>
      </x:c>
    </x:row>
    <x:row r="67">
      <x:c r="A67" s="16" t="str">
        <x:v>tag_application_tool_postprint_pass</x:v>
      </x:c>
      <x:c r="B67" s="16" t="str">
        <x:v>postprint</x:v>
      </x:c>
      <x:c r="C67" s="16" t="str">
        <x:v>NOT_TESTED</x:v>
      </x:c>
      <x:c r="D67" s="16" t="str">
        <x:v>abs_rapido_general_0p4</x:v>
      </x:c>
      <x:c r="E67" s="16" t="str">
        <x:v>QIDI ABS Rapido</x:v>
      </x:c>
      <x:c r="F67" s="16" t="n">
        <x:v>0.4</x:v>
      </x:c>
      <x:c r="G67" s="16" t="str">
        <x:v>RC03-INT-R1</x:v>
      </x:c>
      <x:c r="H67" s="16" t="str">
        <x:v>{"job_id":null,"opening_x_mm":null,"opening_y_mm":null,"flatness_mm":null,"center_witness_result":null,"plus_y_witness_result":null,"tag_handling_result":null,"square_corner_release_result":null}</x:v>
      </x:c>
      <x:c r="I67" s="16" t="str">
        <x:v>{}</x:v>
      </x:c>
      <x:c r="J67" s="16" t="str">
        <x:v>Inspect the reusable job 03C2 application frame for a measured 55.3 mm square opening, flat seating, visible center/+Y witnesses, and clean insertion/removal of an actual square 55 mm tile without corner collision, skew, or lift.</x:v>
      </x:c>
    </x:row>
    <x:row r="68">
      <x:c r="A68" s="20" t="str">
        <x:v>camera_plate_hardware_pass</x:v>
      </x:c>
      <x:c r="B68" s="20" t="str">
        <x:v>postprint</x:v>
      </x:c>
      <x:c r="C68" s="20" t="str">
        <x:v>NOT_TESTED</x:v>
      </x:c>
      <x:c r="D68" s="20" t="str">
        <x:v>petg_general_0p4</x:v>
      </x:c>
      <x:c r="E68" s="20" t="str">
        <x:v>PETG</x:v>
      </x:c>
      <x:c r="F68" s="20" t="n">
        <x:v>0.4</x:v>
      </x:c>
      <x:c r="G68" s="20" t="str">
        <x:v>RC03-INT-R1</x:v>
      </x:c>
      <x:c r="H68" s="20" t="str">
        <x:v>{"job_id":null,"camera_screw_engagement_mm":null,"tslot_hardware_result":null,"strap_slot_result":null,"camera_screw_bottoming_result":null}</x:v>
      </x:c>
      <x:c r="I68" s="20" t="str">
        <x:v>{}</x:v>
      </x:c>
      <x:c r="J68" s="20" t="str">
        <x:v>Verify the actual camera, screw, T-slot hardware, and straps.</x:v>
      </x:c>
    </x:row>
    <x:row r="69">
      <x:c r="A69" s="16" t="str">
        <x:v>calibration_puck_datum_pass</x:v>
      </x:c>
      <x:c r="B69" s="16" t="str">
        <x:v>postprint</x:v>
      </x:c>
      <x:c r="C69" s="16" t="str">
        <x:v>NOT_TESTED</x:v>
      </x:c>
      <x:c r="D69" s="16" t="str">
        <x:v>abs_rapido_calibration_0p4</x:v>
      </x:c>
      <x:c r="E69" s="16" t="str">
        <x:v>QIDI ABS Rapido</x:v>
      </x:c>
      <x:c r="F69" s="16" t="n">
        <x:v>0.4</x:v>
      </x:c>
      <x:c r="G69" s="16" t="str">
        <x:v>RC03-INT-R1</x:v>
      </x:c>
      <x:c r="H69" s="16" t="str">
        <x:v>{"job_id":null,"cartridge_count":null,"cartridge_A_free_state_flatness_mm":null,"cartridge_A_crosshair_result":null,"cartridge_A_divot_result":null,"cartridge_A_lateral_play_mm":null,"cartridge_A_remove_reinstall_cycles":null,"cartridge_A_mounted_height_measurements_mm":[],"cartridge_A_mounted_height_range_mm":null,"cartridge_A_mean_mounted_height_mm":null,"cartridge_B_free_state_flatness_mm":null,"cartridge_B_crosshair_result":null,"cartridge_B_divot_result":null,"cartridge_B_lateral_play_mm":null,"cartridge_B_remove_reinstall_cycles":null,"cartridge_B_mounted_height_measurements_mm":[],"cartridge_B_mounted_height_range_mm":null,"cartridge_B_mean_mounted_height_mm":null,"installed_cartridge_id":null,"installed_selection_score":null,"spare_cartridge_id":null,"accepted_spare_result":null,"spare_swap_requires_tcp_recalibration":null}</x:v>
      </x:c>
      <x:c r="I69" s="16" t="str">
        <x:v>{}</x:v>
      </x:c>
      <x:c r="J69" s="16" t="str">
        <x:v>Preserve the Job 03D slicer identities: calibration_puck_1 is 03D-A and calibration_puck_2 is 03D-B. Qualify each separately: both require an intact crosshair/divot, lateral play no greater than 0.15 mm, and a mounted-height range no greater than 0.10 mm over ten remove/reinstall cycles. For each accepted cartridge calculate score = max(lateral_play_mm / 0.15, mounted_height_range_mm / 0.10). Label the lower-score cartridge INSTALL; if scores are equal at the measuring resolution, choose the lower height range, then 03D-A if still tied. Label the other accepted cartridge SPARE - TCP RECALIBRATION REQUIRED.</x:v>
      </x:c>
    </x:row>
    <x:row r="70">
      <x:c r="A70" s="20" t="str">
        <x:v>tool_body_postprint_pass</x:v>
      </x:c>
      <x:c r="B70" s="20" t="str">
        <x:v>postprint</x:v>
      </x:c>
      <x:c r="C70" s="20" t="str">
        <x:v>NOT_TESTED</x:v>
      </x:c>
      <x:c r="D70" s="20" t="str">
        <x:v>abs_rapido_precision_0p4</x:v>
      </x:c>
      <x:c r="E70" s="20" t="str">
        <x:v>QIDI ABS Rapido</x:v>
      </x:c>
      <x:c r="F70" s="20" t="n">
        <x:v>0.4</x:v>
      </x:c>
      <x:c r="G70" s="20" t="str">
        <x:v>RC03-INT-R1</x:v>
      </x:c>
      <x:c r="H70" s="20" t="str">
        <x:v>{"job_id":null,"body_straightness_result":null,"bore_finish_result":null,"gripper_flat_result":null,"insert_result":null,"cap_fit_result":null,"spare_cap_count":null}</x:v>
      </x:c>
      <x:c r="I70" s="20" t="str">
        <x:v>{}</x:v>
      </x:c>
      <x:c r="J70" s="20" t="str">
        <x:v>Inspect the body, caps, inserts, bores, and gripper faces.</x:v>
      </x:c>
    </x:row>
    <x:row r="71">
      <x:c r="A71" s="16" t="str">
        <x:v>stylus_collar_retention_pass</x:v>
      </x:c>
      <x:c r="B71" s="16" t="str">
        <x:v>postprint</x:v>
      </x:c>
      <x:c r="C71" s="16" t="str">
        <x:v>NOT_TESTED</x:v>
      </x:c>
      <x:c r="D71" s="16" t="str">
        <x:v>petg_adapter_0p4</x:v>
      </x:c>
      <x:c r="E71" s="16" t="str">
        <x:v>PETG</x:v>
      </x:c>
      <x:c r="F71" s="16" t="n">
        <x:v>0.4</x:v>
      </x:c>
      <x:c r="G71" s="16" t="str">
        <x:v>RC03-INT-R1</x:v>
      </x:c>
      <x:c r="H71" s="16" t="str">
        <x:v>{"approved_limits_id":null,"job_id":null,"selected_collar":null,"retention_method":null,"minimum_pull_force_n":null,"proof_duration_s":null,"measured_pull_force_n":null,"initial_pull_result":null,"cycle_count":null,"removability_result":null,"plastic_compatibility_result":null,"creep_result_after_24h":null,"radial_screw_absent":null}</x:v>
      </x:c>
      <x:c r="I71" s="16" t="str">
        <x:v>{}</x:v>
      </x:c>
      <x:c r="J71" s="16" t="str">
        <x:v>Use the phone-stylus route values in the PASS tool_force_tcp_limits_approved record, then qualify one collar using measured dry fit or minimal removable compound and a calibrated force gauge. Record the approval ID and prove pull/cycle retention, removability, plastic compatibility and 24-hour creep; confirm no radial screw and retain the second as a labeled spare.</x:v>
      </x:c>
    </x:row>
    <x:row r="72">
      <x:c r="A72" s="20" t="str">
        <x:v>rod_bushing_retention_pass</x:v>
      </x:c>
      <x:c r="B72" s="20" t="str">
        <x:v>postprint</x:v>
      </x:c>
      <x:c r="C72" s="20" t="str">
        <x:v>NOT_TESTED</x:v>
      </x:c>
      <x:c r="D72" s="20" t="str">
        <x:v>petg_adapter_0p4</x:v>
      </x:c>
      <x:c r="E72" s="20" t="str">
        <x:v>PETG</x:v>
      </x:c>
      <x:c r="F72" s="20" t="n">
        <x:v>0.4</x:v>
      </x:c>
      <x:c r="G72" s="20" t="str">
        <x:v>RC03-INT-R1</x:v>
      </x:c>
      <x:c r="H72" s="20" t="str">
        <x:v>{"approved_limits_id":null,"job_id":null,"selected_bushing":null,"rod_projection_mm":null,"retention_method":null,"minimum_pull_force_n":null,"proof_duration_s":null,"measured_pull_force_n":null,"initial_pull_result":null,"creep_result_after_24h":null}</x:v>
      </x:c>
      <x:c r="I72" s="20" t="str">
        <x:v>{}</x:v>
      </x:c>
      <x:c r="J72" s="20" t="str">
        <x:v>Use the keyboard-rod route values in the PASS tool_force_tcp_limits_approved record, qualify one rod bushing with a calibrated force gauge, record the approval ID and 24-hour creep result, and retain the second as a labeled spare.</x:v>
      </x:c>
    </x:row>
    <x:row r="73">
      <x:c r="A73" s="16" t="str">
        <x:v>phone_tpu_batch_postprint_pass</x:v>
      </x:c>
      <x:c r="B73" s="16" t="str">
        <x:v>postprint</x:v>
      </x:c>
      <x:c r="C73" s="16" t="str">
        <x:v>NOT_TESTED</x:v>
      </x:c>
      <x:c r="D73" s="16" t="str">
        <x:v>tpu95a_0p4</x:v>
      </x:c>
      <x:c r="E73" s="16" t="str">
        <x:v>TPU 95A</x:v>
      </x:c>
      <x:c r="F73" s="16" t="n">
        <x:v>0.4</x:v>
      </x:c>
      <x:c r="G73" s="16" t="str">
        <x:v>RC03-INT-R1</x:v>
      </x:c>
      <x:c r="H73" s="16" t="str">
        <x:v>{"job_id":null,"quantity":null,"bore_result":null,"contact_face_result":null,"installed_count":null,"spare_count":null}</x:v>
      </x:c>
      <x:c r="I73" s="16" t="str">
        <x:v>{}</x:v>
      </x:c>
      <x:c r="J73" s="16" t="str">
        <x:v>Inspect and account for all production/spare phone tips.</x:v>
      </x:c>
    </x:row>
    <x:row r="74">
      <x:c r="A74" s="20" t="str">
        <x:v>keyboard_tpu_batch_postprint_pass</x:v>
      </x:c>
      <x:c r="B74" s="20" t="str">
        <x:v>postprint</x:v>
      </x:c>
      <x:c r="C74" s="20" t="str">
        <x:v>NOT_TESTED</x:v>
      </x:c>
      <x:c r="D74" s="20" t="str">
        <x:v>tpu95a_0p4</x:v>
      </x:c>
      <x:c r="E74" s="20" t="str">
        <x:v>TPU 95A</x:v>
      </x:c>
      <x:c r="F74" s="20" t="n">
        <x:v>0.4</x:v>
      </x:c>
      <x:c r="G74" s="20" t="str">
        <x:v>RC03-INT-R1</x:v>
      </x:c>
      <x:c r="H74" s="20" t="str">
        <x:v>{"job_id":null,"quantity":null,"bore_result":null,"contact_face_result":null,"installed_count":null,"spare_count":null}</x:v>
      </x:c>
      <x:c r="I74" s="20" t="str">
        <x:v>{}</x:v>
      </x:c>
      <x:c r="J74" s="20" t="str">
        <x:v>Inspect and account for all production/spare keyboard tips.</x:v>
      </x:c>
    </x:row>
    <x:row r="75">
      <x:c r="A75" s="16" t="str">
        <x:v>mast_second_foot_postprint_pass</x:v>
      </x:c>
      <x:c r="B75" s="16" t="str">
        <x:v>postprint</x:v>
      </x:c>
      <x:c r="C75" s="16" t="str">
        <x:v>NOT_TESTED</x:v>
      </x:c>
      <x:c r="D75" s="16" t="str">
        <x:v>asa_structural_0p4</x:v>
      </x:c>
      <x:c r="E75" s="16" t="str">
        <x:v>ASA</x:v>
      </x:c>
      <x:c r="F75" s="16" t="n">
        <x:v>0.4</x:v>
      </x:c>
      <x:c r="G75" s="16" t="str">
        <x:v>RC03-INT-R1</x:v>
      </x:c>
      <x:c r="H75" s="16" t="str">
        <x:v>{"job_id":null,"base_flatness_mm":null,"socket_fit_result":null,"bolt_clamp_result":null,"crack_result_after_24h":null}</x:v>
      </x:c>
      <x:c r="I75" s="16" t="str">
        <x:v>{}</x:v>
      </x:c>
      <x:c r="J75" s="16" t="str">
        <x:v>Inspect and fully load the second mast foot using the accepted method.</x:v>
      </x:c>
    </x:row>
    <x:row r="76">
      <x:c r="A76" s="20" t="str">
        <x:v>board_fabrication_pass</x:v>
      </x:c>
      <x:c r="B76" s="20" t="str">
        <x:v>assembly</x:v>
      </x:c>
      <x:c r="C76" s="20" t="str">
        <x:v>NOT_TESTED</x:v>
      </x:c>
      <x:c r="D76" s="20" t="str">
        <x:v>board_fabrication</x:v>
      </x:c>
      <x:c r="E76" s="20" t="str">
        <x:v>board</x:v>
      </x:c>
      <x:c r="F76" s="20" t="str">
        <x:v>not_applicable</x:v>
      </x:c>
      <x:c r="G76" s="20" t="str">
        <x:v>RC03-INT-R1</x:v>
      </x:c>
      <x:c r="H76" s="20" t="str">
        <x:v>{"width_mm":null,"depth_mm":null,"thickness_mm":null,"front_width_mm":null,"rear_width_mm":null,"left_depth_mm":null,"right_depth_mm":null,"diagonal_1_mm":null,"diagonal_2_mm":null,"transferred_center_coordinate_record":null,"both_faces_sealed_result":null,"all_edges_sealed_result":null,"finish_cure_result":null,"finish_product_and_batch":null,"finish_application_and_cure_record":null,"finish_evidence_reference":null,"local_flatness_by_station_mm":{},"overall_bow_mm":null,"template_x_scale_bar_mm":null,"template_y_scale_bar_mm":null,"local_thickness_by_locator_mm":{"KBL-LOC-ROUND":null,"KBL-LOC-RADIAL":null,"PT-LOC-ROUND":null,"PT-LOC-RADIAL":null},"blind_locator_bore_depths_mm":{"KBL-LOC-ROUND":null,"KBL-LOC-RADIAL":null,"PT-LOC-ROUND":null,"PT-LOC-RADIAL":null},"locator_projection_measurements_mm":{"KBL-LOC-ROUND":null,"KBL-LOC-RADIAL":null,"PT-LOC-ROUND":null,"PT-LOC-RADIAL":null},"threaded_board_interface_result":null,"scrap_stack_proof_load_result":null,"selected_fastener_map_sha256":null}</x:v>
      </x:c>
      <x:c r="I76" s="20" t="str">
        <x:v>{}</x:v>
      </x:c>
      <x:c r="J76" s="20" t="str">
        <x:v>Accept a 610.0 +/- 0.5 x 457.0 +/- 0.5 mm board, 17.50-18.50 mm thick. Front/rear widths and left/right depths may differ by no more than 0.50 mm; both diagonals must be within 1.00 mm of the edge-derived diagonal and within 1.00 mm of each other. Record the independent X and Y printed-template scale checks, the coordinate-transfer audit, local flatness no greater than 0.50 mm, and overall bow no greater than 1.50 mm. For each named locator, record local thickness and a 15.00 +/- 0.20 mm blind depth that preserves at least 2.00 mm local board floor; after pin installation require 5.00 +/- 0.15 mm projection. Both faces and every edge must be evenly sealed and fully cured. Record PASS results for the qualified threaded interface and scrap-stack proof plus the SHA-256 of a fully selected, anchor-specific FASTENER_MAP.csv. Unresolved anchor or bore fields keep this gate from PASS. No router or CNC is required.</x:v>
      </x:c>
    </x:row>
    <x:row r="77">
      <x:c r="A77" s="16" t="str">
        <x:v>keyboard_fixture_assembly_pass</x:v>
      </x:c>
      <x:c r="B77" s="16" t="str">
        <x:v>assembly</x:v>
      </x:c>
      <x:c r="C77" s="16" t="str">
        <x:v>NOT_TESTED</x:v>
      </x:c>
      <x:c r="D77" s="16" t="str">
        <x:v>keyboard_fixture</x:v>
      </x:c>
      <x:c r="E77" s="16" t="str">
        <x:v>assembly</x:v>
      </x:c>
      <x:c r="F77" s="16" t="str">
        <x:v>not_applicable</x:v>
      </x:c>
      <x:c r="G77" s="16" t="str">
        <x:v>RC03-INT-R1</x:v>
      </x:c>
      <x:c r="H77" s="16" t="str">
        <x:v>{"station_pair_gate":null,"clamp_gate":null,"seam_gap_mm":null,"seam_flush_mismatch_mm":null,"support_plane_flatness_mm":null,"remove_reinstall_cycles":null,"pose_measurements_xyyaw_mm_deg":[],"keyboard_pose_range_mm":null,"rocking_result":null}</x:v>
      </x:c>
      <x:c r="I77" s="16" t="str">
        <x:v>{}</x:v>
      </x:c>
      <x:c r="J77" s="16" t="str">
        <x:v>Pass ten keyboard remove/reinstall cycles with no rocking, seam gap no greater than 0.40 mm, flush mismatch no greater than 0.25 mm, and keyboard pose range no greater than 0.50 mm.</x:v>
      </x:c>
    </x:row>
    <x:row r="78">
      <x:c r="A78" s="20" t="str">
        <x:v>phone_fixture_assembly_pass</x:v>
      </x:c>
      <x:c r="B78" s="20" t="str">
        <x:v>assembly</x:v>
      </x:c>
      <x:c r="C78" s="20" t="str">
        <x:v>NOT_TESTED</x:v>
      </x:c>
      <x:c r="D78" s="20" t="str">
        <x:v>phone_fixture</x:v>
      </x:c>
      <x:c r="E78" s="20" t="str">
        <x:v>assembly</x:v>
      </x:c>
      <x:c r="F78" s="20" t="str">
        <x:v>not_applicable</x:v>
      </x:c>
      <x:c r="G78" s="20" t="str">
        <x:v>RC03-INT-R1</x:v>
      </x:c>
      <x:c r="H78" s="20" t="str">
        <x:v>{"approved_no_go_clearance_limit_id":null,"approved_minimum_no_go_clearance_mm":null,"measured_minimum_no_go_clearance_mm":null,"clearance_measurement_uncertainty_mm":null,"station_gate":null,"clamp_rail_gate":null,"tpu_gate":null,"button_clearance_result":null,"camera_clearance_result":null,"usb_strain_relief_result":null,"remove_reinstall_cycles":null,"phone_pose_measurements_xyyaw_mm_deg":[],"phone_pose_range_mm":null}</x:v>
      </x:c>
      <x:c r="I78" s="20" t="str">
        <x:v>{}</x:v>
      </x:c>
      <x:c r="J78" s="20" t="str">
        <x:v>Pass ten phone cycles with pose range no greater than 0.35 mm. Record the approved phone no-go limit ID, approved minimum, measured minimum and uncertainty; the conservative measured margin must meet the approval while button, camera, and USB clearances remain maintained.</x:v>
      </x:c>
    </x:row>
    <x:row r="79">
      <x:c r="A79" s="16" t="str">
        <x:v>tag_direct_installation_pass</x:v>
      </x:c>
      <x:c r="B79" s="16" t="str">
        <x:v>assembly</x:v>
      </x:c>
      <x:c r="C79" s="16" t="str">
        <x:v>NOT_TESTED</x:v>
      </x:c>
      <x:c r="D79" s="16" t="str">
        <x:v>vision_fiducials</x:v>
      </x:c>
      <x:c r="E79" s="16" t="str">
        <x:v>assembly</x:v>
      </x:c>
      <x:c r="F79" s="16" t="str">
        <x:v>not_applicable</x:v>
      </x:c>
      <x:c r="G79" s="16" t="str">
        <x:v>RC03-INT-R1</x:v>
      </x:c>
      <x:c r="H79" s="16" t="str">
        <x:v>{"installed_ids":null,"orientation_result":null,"full_surface_adhesive_result":null,"tile_measurements_mm":{},"detection_edge_measurements_mm":{},"edge_lift_measurements_mm":{},"static_detection_success_by_id":{}}</x:v>
      </x:c>
      <x:c r="I79" s="16" t="str">
        <x:v>{}</x:v>
      </x:c>
      <x:c r="J79" s="16" t="str">
        <x:v>Apply IDs 0-5 directly to the sealed board with full-surface matte adhesive and consistent +Y orientation. Require 55.0 +/- 0.2 mm tile, 40.0 +/- 0.2 mm detection edge, edge lift no greater than 0.20 mm, and 20/20 static detections per tag.</x:v>
      </x:c>
    </x:row>
    <x:row r="80">
      <x:c r="A80" s="20" t="str">
        <x:v>tag_plane_placement_measured</x:v>
      </x:c>
      <x:c r="B80" s="20" t="str">
        <x:v>assembly</x:v>
      </x:c>
      <x:c r="C80" s="20" t="str">
        <x:v>NOT_TESTED</x:v>
      </x:c>
      <x:c r="D80" s="20" t="str">
        <x:v>vision_fiducials</x:v>
      </x:c>
      <x:c r="E80" s="20" t="str">
        <x:v>assembly</x:v>
      </x:c>
      <x:c r="F80" s="20" t="str">
        <x:v>not_applicable</x:v>
      </x:c>
      <x:c r="G80" s="20" t="str">
        <x:v>RC03-INT-R1</x:v>
      </x:c>
      <x:c r="H80" s="20" t="str">
        <x:v>{"board_z_reference":"finished sealed board top surface","measurement_method":null,"measurement_tool_id":null,"evidence_reference":null,"tags":{"T0":{"center_x_mm":null,"center_y_mm":null,"plane_z_mm":null,"yaw_deg":null},"T1":{"center_x_mm":null,"center_y_mm":null,"plane_z_mm":null,"yaw_deg":null},"T2":{"center_x_mm":null,"center_y_mm":null,"plane_z_mm":null,"yaw_deg":null},"T3":{"center_x_mm":null,"center_y_mm":null,"plane_z_mm":null,"yaw_deg":null},"K0":{"center_x_mm":null,"center_y_mm":null,"plane_z_mm":null,"yaw_deg":null},"P0":{"center_x_mm":null,"center_y_mm":null,"plane_z_mm":null,"yaw_deg":null}},"physical_metrology_calculation_record":null}</x:v>
      </x:c>
      <x:c r="I80" s="20" t="str">
        <x:v>{}</x:v>
      </x:c>
      <x:c r="J80" s="20" t="str">
        <x:v>Record installed XY, yaw, optical-plane Z, the raw edge distances/baselines, and the calculation method for all six direct tags. Require center error within 0.50 mm and yaw within 0.30 degrees. Camera reprojection and static detection are verified separately in Step 13.</x:v>
      </x:c>
    </x:row>
    <x:row r="81">
      <x:c r="A81" s="16" t="str">
        <x:v>station_remove_reinstall_repeatability_pass</x:v>
      </x:c>
      <x:c r="B81" s="16" t="str">
        <x:v>assembly</x:v>
      </x:c>
      <x:c r="C81" s="16" t="str">
        <x:v>NOT_TESTED</x:v>
      </x:c>
      <x:c r="D81" s="16" t="str">
        <x:v>integrated_station_registration</x:v>
      </x:c>
      <x:c r="E81" s="16" t="str">
        <x:v>assembly</x:v>
      </x:c>
      <x:c r="F81" s="16" t="str">
        <x:v>not_applicable</x:v>
      </x:c>
      <x:c r="G81" s="16" t="str">
        <x:v>RC03-INT-R1</x:v>
      </x:c>
      <x:c r="H81" s="16" t="str">
        <x:v>{"cycles":null,"measurements_by_station":{},"range_x_mm_by_station":{},"range_y_mm_by_station":{},"range_z_mm_by_station":{},"range_yaw_deg_by_station":{},"base_contact_result_by_station":{},"structural_proof_result_by_station":{}}</x:v>
      </x:c>
      <x:c r="I81" s="16" t="str">
        <x:v>{}</x:v>
      </x:c>
      <x:c r="J81" s="16" t="str">
        <x:v>Record ten remove/reinstall cycles for keyboard master/slave and phone/TCP stations. Require peak-to-peak X/Y no greater than 0.25 mm, yaw no greater than 0.20 degrees, Z no greater than 0.20 mm, continuous base contact at each retention zone, and no permanent shift after the structural proof load.</x:v>
      </x:c>
    </x:row>
    <x:row r="82">
      <x:c r="A82" s="20" t="str">
        <x:v>tool_force_tcp_limits_approved</x:v>
      </x:c>
      <x:c r="B82" s="20" t="str">
        <x:v>engineering_release</x:v>
      </x:c>
      <x:c r="C82" s="20" t="str">
        <x:v>NOT_TESTED</x:v>
      </x:c>
      <x:c r="D82" s="20" t="str">
        <x:v>compliant_tool_limits</x:v>
      </x:c>
      <x:c r="E82" s="20" t="str">
        <x:v>assembly</x:v>
      </x:c>
      <x:c r="F82" s="20" t="str">
        <x:v>not_applicable</x:v>
      </x:c>
      <x:c r="G82" s="20" t="str">
        <x:v>RC03-INT-R1</x:v>
      </x:c>
      <x:c r="H82" s="20" t="str">
        <x:v>{"approval_id":null,"approved_by":null,"approved_at":null,"selected_routes":[],"limits_by_route":{},"force_gauge_required_range_n":null,"force_gauge_required_resolution_n":null,"tcp_probe_method_and_reference_frame":null,"engineering_rationale":null,"evidence_reference":null}</x:v>
      </x:c>
      <x:c r="I82" s="20" t="str">
        <x:v>{}</x:v>
      </x:c>
      <x:c r="J82" s="20" t="str">
        <x:v>A responsible engineering reviewer must approve every selected route. Each route record must contain at least two compression-force checkpoints (travel_mm, minimum_force_n, maximum_force_n), a positive TCP axis-range limit in mm, and the route-specific rod-bushing/keyboard-TPU or stylus-collar pull force and duration. Record a force-gauge range and resolution in N plus the TCP probe method/frame. Operator-selected arbitrary values are not permitted.</x:v>
      </x:c>
    </x:row>
    <x:row r="83">
      <x:c r="A83" s="16" t="str">
        <x:v>tool_assembled_motion_pass</x:v>
      </x:c>
      <x:c r="B83" s="16" t="str">
        <x:v>assembly</x:v>
      </x:c>
      <x:c r="C83" s="16" t="str">
        <x:v>NOT_TESTED</x:v>
      </x:c>
      <x:c r="D83" s="16" t="str">
        <x:v>compliant_tool</x:v>
      </x:c>
      <x:c r="E83" s="16" t="str">
        <x:v>assembly</x:v>
      </x:c>
      <x:c r="F83" s="16" t="str">
        <x:v>not_applicable</x:v>
      </x:c>
      <x:c r="G83" s="16" t="str">
        <x:v>RC03-INT-R1</x:v>
      </x:c>
      <x:c r="H83" s="16" t="str">
        <x:v>{"approved_limits_id":null,"selected_routes":[],"force_gauge_id":null,"tcp_probe_method_and_reference_frame":null,"results_by_route":{}}</x:v>
      </x:c>
      <x:c r="I83" s="16" t="str">
        <x:v>{}</x:v>
      </x:c>
      <x:c r="J83" s="16" t="str">
        <x:v>For every selected route, record at least 20 cycles, free_travel_mm, one measured force for every approved checkpoint, true full-return/no-coil-bind/gripper-retention/functional-contact results, approved route-specific pull forces and durations, at least ten TCP probes, and X/Y/Z range in mm within the approved scalar axis limit. The approval ID and selected-route/result keys must match exactly.</x:v>
      </x:c>
    </x:row>
    <x:row r="84">
      <x:c r="A84" s="20" t="str">
        <x:v>stylus_function_pass</x:v>
      </x:c>
      <x:c r="B84" s="20" t="str">
        <x:v>assembly</x:v>
      </x:c>
      <x:c r="C84" s="20" t="str">
        <x:v>NOT_TESTED</x:v>
      </x:c>
      <x:c r="D84" s="20" t="str">
        <x:v>phone_stylus_route</x:v>
      </x:c>
      <x:c r="E84" s="20" t="str">
        <x:v>assembly</x:v>
      </x:c>
      <x:c r="F84" s="20" t="str">
        <x:v>not_applicable</x:v>
      </x:c>
      <x:c r="G84" s="20" t="str">
        <x:v>RC03-INT-R1</x:v>
      </x:c>
      <x:c r="H84" s="20" t="str">
        <x:v>{"stylus_model":null,"manual_tap_count":null,"successful_taps":null,"electrical_touch_result":null,"assembled_projection_mm":null}</x:v>
      </x:c>
      <x:c r="I84" s="20" t="str">
        <x:v>{}</x:v>
      </x:c>
      <x:c r="J84" s="20" t="str">
        <x:v>Verify capacitive operation by hand and after installation.</x:v>
      </x:c>
    </x:row>
    <x:row r="85">
      <x:c r="A85" s="16" t="str">
        <x:v>commissioning_motion_contact_limits_approved</x:v>
      </x:c>
      <x:c r="B85" s="16" t="str">
        <x:v>engineering_release</x:v>
      </x:c>
      <x:c r="C85" s="16" t="str">
        <x:v>NOT_TESTED</x:v>
      </x:c>
      <x:c r="D85" s="16" t="str">
        <x:v>commissioning_limits</x:v>
      </x:c>
      <x:c r="E85" s="16" t="str">
        <x:v>assembly</x:v>
      </x:c>
      <x:c r="F85" s="16" t="str">
        <x:v>not_applicable</x:v>
      </x:c>
      <x:c r="G85" s="16" t="str">
        <x:v>RC03-INT-R1</x:v>
      </x:c>
      <x:c r="H85" s="16" t="str">
        <x:v>{"approval_id":null,"approved_by":null,"approved_at":null,"empty_motion_tcp_speed_limit_mm_s":null,"empty_motion_tcp_acceleration_limit_mm_s2":null,"minimum_clearance_mm":null,"first_contact_tcp_speed_limit_mm_s":null,"first_contact_force_limit_n":null,"first_contact_travel_limit_mm":null,"station_20n_lateral_proof_duration_s":null,"station_10n_functional_proof_duration_s":null,"controller_model_and_firmware":null,"homing_reference_procedure_path":null,"homing_reference_procedure_sha256":null,"empty_cell_program_path":null,"empty_cell_program_sha256":null,"final_process_program_path":null,"final_process_program_sha256":null,"estop_implementation":null,"board_anti_shift_implementation":null,"engineering_rationale":null,"evidence_reference":null}</x:v>
      </x:c>
      <x:c r="I85" s="16" t="str">
        <x:v>{}</x:v>
      </x:c>
      <x:c r="J85" s="16" t="str">
        <x:v>Before robot enable, a responsible engineering reviewer must approve positive empty-motion TCP speed (mm/s), TCP acceleration (mm/s^2), minimum clearance (mm), first-contact TCP speed (mm/s), force (N), travel (mm), and 20 N/10 N station-proof durations (s); identify the controller/firmware, E-stop implementation, and board anti-shift implementation; and bind existing project-relative homing/reference, empty-cell motion, and final-process files by SHA-256. First-contact speed may not exceed empty-motion speed. The 50 N axial board-anchor proof remains fixed at 60 seconds.</x:v>
      </x:c>
    </x:row>
    <x:row r="86">
      <x:c r="A86" s="20" t="str">
        <x:v>workcell_commissioning_pass</x:v>
      </x:c>
      <x:c r="B86" s="20" t="str">
        <x:v>assembly</x:v>
      </x:c>
      <x:c r="C86" s="20" t="str">
        <x:v>NOT_TESTED</x:v>
      </x:c>
      <x:c r="D86" s="20" t="str">
        <x:v>final_workcell_commissioning</x:v>
      </x:c>
      <x:c r="E86" s="20" t="str">
        <x:v>assembly</x:v>
      </x:c>
      <x:c r="F86" s="20" t="str">
        <x:v>not_applicable</x:v>
      </x:c>
      <x:c r="G86" s="20" t="str">
        <x:v>RC03-INT-R1</x:v>
      </x:c>
      <x:c r="H86" s="20" t="str">
        <x:v>{"arm_clamp_model_and_footprint":null,"reinforcement_material_thickness_and_footprint":null,"board_flatness_before_and_after_clamping_mm":{},"board_to_bench_anti_shift_result":null,"estop_model_cutoff_and_reset_result":null,"camera_model_resolution_focus_exposure":null,"camera_calibration_file_and_sha256":null,"charuco_view_count":null,"camera_reprojection_error_px":null,"t0_t3_full_visibility_result":null,"board_transform_residuals_by_tag":{},"tcp_probe_cycles_and_xyz_range_mm":{},"approved_motion_contact_limits_id":null,"empty_motion_tcp_speed_used_mm_s":null,"empty_motion_tcp_acceleration_used_mm_s2":null,"minimum_clearance_limit_mm":null,"minimum_clearance_measured_mm":null,"first_contact_tcp_speed_used_mm_s":null,"first_contact_force_measured_n":null,"first_contact_travel_measured_mm":null,"station_20n_lateral_proof_duration_s":null,"station_10n_functional_proof_duration_s":null,"controller_model_and_firmware":null,"homing_reference_procedure_path":null,"homing_reference_procedure_sha256":null,"empty_cell_program_path":null,"empty_cell_program_sha256":null,"final_process_program_path":null,"final_process_program_sha256":null,"estop_implementation":null,"board_anti_shift_implementation":null,"board_anchor_50n_60s_results":{},"empty_cell_cycles_speed_acceleration_and_clearance":{},"operator_date_and_evidence_reference":null}</x:v>
      </x:c>
      <x:c r="I86" s="20" t="str">
        <x:v>{}</x:v>
      </x:c>
      <x:c r="J86" s="20" t="str">
        <x:v>Record final loaded-board arm reinforcement and flatness, approved anti-shift and E-stop implementations plus their tests, controller/firmware, the exact hashed homing/reference, empty-cell, and final-process artifacts, locked camera intrinsics and view coverage, board-transform residuals, TCP probe repeatability, approval ID, actual TCP speeds/acceleration in mm/s and mm/s^2, measured force in N, travel/clearance in mm, 20 N/10 N proof durations in s, every 50 N axial/60 s anchor proof, empty-cell clearance, and controlled first contact. Actual motion/contact values must remain within the approved limits.</x:v>
      </x:c>
    </x:row>
    <x:row r="87">
      <x:c r="A87" s="17" t="str">
        <x:v>mast_pair_installation_pass</x:v>
      </x:c>
      <x:c r="B87" s="17" t="str">
        <x:v>assembly</x:v>
      </x:c>
      <x:c r="C87" s="17" t="str">
        <x:v>NOT_TESTED</x:v>
      </x:c>
      <x:c r="D87" s="17" t="str">
        <x:v>camera_mast</x:v>
      </x:c>
      <x:c r="E87" s="17" t="str">
        <x:v>assembly</x:v>
      </x:c>
      <x:c r="F87" s="17" t="str">
        <x:v>not_applicable</x:v>
      </x:c>
      <x:c r="G87" s="17" t="str">
        <x:v>RC03-INT-R1</x:v>
      </x:c>
      <x:c r="H87" s="17" t="str">
        <x:v>{"foot_a_gate":null,"foot_b_gate":null,"base_hardware_count":null,"crossbar_level_result":null,"mast_plumb_result":null,"camera_stability_result":null}</x:v>
      </x:c>
      <x:c r="I87" s="17" t="str">
        <x:v>{}</x:v>
      </x:c>
      <x:c r="J87" s="17" t="str">
        <x:v>Assemble both accepted feet and verify level, plumb, hardware count, and camera stability.</x:v>
      </x:c>
    </x:row>
  </x:sheetData>
  <x:mergeCells>
    <x:mergeCell ref="A1:J1"/>
  </x:mergeCells>
  <x:conditionalFormatting sqref="C4:C87">
    <x:cfRule type="containsText" dxfId="8" priority="1" operator="containsText" text="PASS"/>
    <x:cfRule type="containsText" dxfId="9" priority="2" operator="containsText" text="READY"/>
    <x:cfRule type="containsText" dxfId="10" priority="3" operator="containsText" text="WAITING"/>
    <x:cfRule type="containsText" dxfId="11" priority="4" operator="containsText" text="NOT_TESTED"/>
    <x:cfRule type="containsText" dxfId="12" priority="5" operator="containsText" text="NOT_SELECTED"/>
    <x:cfRule type="containsText" dxfId="13" priority="6" operator="containsText" text="HOLD"/>
    <x:cfRule type="containsText" dxfId="14" priority="7" operator="containsText" text="OPEN"/>
    <x:cfRule type="containsText" dxfId="15" priority="8" operator="containsText" text="FAIL"/>
  </x:conditionalFormatting>
  <x:pageMargins left="0.7" right="0.7" top="0.75" bottom="0.75" header="0.3" footer="0.3"/>
  <x:tableParts count="1">
    <x:tablePart xmlns:r="http://schemas.openxmlformats.org/officeDocument/2006/relationships" r:id="R48a894889c6342d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43" hidden="0" customWidth="1"/>
    <x:col min="3" max="3" width="40" hidden="0" customWidth="1"/>
    <x:col min="4" max="4" width="16" hidden="0" customWidth="1"/>
    <x:col min="5" max="5" width="16" hidden="0" customWidth="1"/>
    <x:col min="6" max="6" width="28" hidden="0" customWidth="1"/>
  </x:cols>
  <x:sheetData>
    <x:row r="1" ht="30" customHeight="1">
      <x:c r="A1" s="3" t="str">
        <x:v>Job-to-Gate Map - status and scope are formula-linked to Compatibility Gates</x:v>
      </x:c>
      <x:c r="B1" s="3"/>
      <x:c r="C1" s="3"/>
      <x:c r="D1" s="3"/>
      <x:c r="E1" s="3"/>
      <x:c r="F1" s="3"/>
    </x:row>
    <x:row r="3" ht="28" customHeight="1">
      <x:c r="A3" s="7" t="str">
        <x:v>Job</x:v>
      </x:c>
      <x:c r="B3" s="7" t="str">
        <x:v>Plate</x:v>
      </x:c>
      <x:c r="C3" s="7" t="str">
        <x:v>Gate ID</x:v>
      </x:c>
      <x:c r="D3" s="7" t="str">
        <x:v>Current status</x:v>
      </x:c>
      <x:c r="E3" s="7" t="str">
        <x:v>Category</x:v>
      </x:c>
      <x:c r="F3" s="7" t="str">
        <x:v>Gate profile</x:v>
      </x:c>
    </x:row>
    <x:row r="4">
      <x:c r="A4" s="18" t="str">
        <x:v>00A</x:v>
      </x:c>
      <x:c r="B4" s="18" t="str">
        <x:v>00A_ABS_keyboard_station_fit_tests.3mf</x:v>
      </x:c>
      <x:c r="C4" s="18" t="str">
        <x:v>plus4_machine_confirmed</x:v>
      </x:c>
      <x:c r="D4" s="18" t="str">
        <x:f>IFERROR(INDEX('Compatibility Gates'!$C$4:$C$87,MATCH(C4,'Compatibility Gates'!$A$4:$A$87,0)),"UNKNOWN")</x:f>
        <x:v>PASS</x:v>
      </x:c>
      <x:c r="E4" s="18" t="str">
        <x:f>IFERROR(INDEX('Compatibility Gates'!$B$4:$B$87,MATCH(C4,'Compatibility Gates'!$A$4:$A$87,0)),"UNKNOWN")</x:f>
        <x:v>machine</x:v>
      </x:c>
      <x:c r="F4" s="18" t="str">
        <x:f>IFERROR(INDEX('Compatibility Gates'!$D$4:$D$87,MATCH(C4,'Compatibility Gates'!$A$4:$A$87,0)),"UNKNOWN")</x:f>
        <x:v>machine_configuration</x:v>
      </x:c>
    </x:row>
    <x:row r="5">
      <x:c r="A5" s="16" t="str">
        <x:v>00A</x:v>
      </x:c>
      <x:c r="B5" s="16" t="str">
        <x:v>00A_ABS_keyboard_station_fit_tests.3mf</x:v>
      </x:c>
      <x:c r="C5" s="16" t="str">
        <x:v>plus4_protected_envelope_verified</x:v>
      </x:c>
      <x:c r="D5" s="16" t="str">
        <x:f>IFERROR(INDEX('Compatibility Gates'!$C$4:$C$87,MATCH(C5,'Compatibility Gates'!$A$4:$A$87,0)),"UNKNOWN")</x:f>
        <x:v>PASS</x:v>
      </x:c>
      <x:c r="E5" s="16" t="str">
        <x:f>IFERROR(INDEX('Compatibility Gates'!$B$4:$B$87,MATCH(C5,'Compatibility Gates'!$A$4:$A$87,0)),"UNKNOWN")</x:f>
        <x:v>machine</x:v>
      </x:c>
      <x:c r="F5" s="16" t="str">
        <x:f>IFERROR(INDEX('Compatibility Gates'!$D$4:$D$87,MATCH(C5,'Compatibility Gates'!$A$4:$A$87,0)),"UNKNOWN")</x:f>
        <x:v>machine_configuration</x:v>
      </x:c>
    </x:row>
    <x:row r="6">
      <x:c r="A6" s="20" t="str">
        <x:v>00A</x:v>
      </x:c>
      <x:c r="B6" s="20" t="str">
        <x:v>00A_ABS_keyboard_station_fit_tests.3mf</x:v>
      </x:c>
      <x:c r="C6" s="20" t="str">
        <x:v>nozzle_0p4_confirmed</x:v>
      </x:c>
      <x:c r="D6" s="20" t="str">
        <x:f>IFERROR(INDEX('Compatibility Gates'!$C$4:$C$87,MATCH(C6,'Compatibility Gates'!$A$4:$A$87,0)),"UNKNOWN")</x:f>
        <x:v>PASS</x:v>
      </x:c>
      <x:c r="E6" s="20" t="str">
        <x:f>IFERROR(INDEX('Compatibility Gates'!$B$4:$B$87,MATCH(C6,'Compatibility Gates'!$A$4:$A$87,0)),"UNKNOWN")</x:f>
        <x:v>machine</x:v>
      </x:c>
      <x:c r="F6" s="20" t="str">
        <x:f>IFERROR(INDEX('Compatibility Gates'!$D$4:$D$87,MATCH(C6,'Compatibility Gates'!$A$4:$A$87,0)),"UNKNOWN")</x:f>
        <x:v>machine_configuration</x:v>
      </x:c>
    </x:row>
    <x:row r="7">
      <x:c r="A7" s="16" t="str">
        <x:v>00A</x:v>
      </x:c>
      <x:c r="B7" s="16" t="str">
        <x:v>00A_ABS_keyboard_station_fit_tests.3mf</x:v>
      </x:c>
      <x:c r="C7" s="16" t="str">
        <x:v>abs_rapido_tray_profile_calibrated</x:v>
      </x:c>
      <x:c r="D7" s="16" t="str">
        <x:f>IFERROR(INDEX('Compatibility Gates'!$C$4:$C$87,MATCH(C7,'Compatibility Gates'!$A$4:$A$87,0)),"UNKNOWN")</x:f>
        <x:v>PASS</x:v>
      </x:c>
      <x:c r="E7" s="16" t="str">
        <x:f>IFERROR(INDEX('Compatibility Gates'!$B$4:$B$87,MATCH(C7,'Compatibility Gates'!$A$4:$A$87,0)),"UNKNOWN")</x:f>
        <x:v>material</x:v>
      </x:c>
      <x:c r="F7" s="16" t="str">
        <x:f>IFERROR(INDEX('Compatibility Gates'!$D$4:$D$87,MATCH(C7,'Compatibility Gates'!$A$4:$A$87,0)),"UNKNOWN")</x:f>
        <x:v>abs_rapido_tray_structural_0p4</x:v>
      </x:c>
    </x:row>
    <x:row r="8">
      <x:c r="A8" s="20" t="str">
        <x:v>00B</x:v>
      </x:c>
      <x:c r="B8" s="20" t="str">
        <x:v>00B_ABS_phone_station_fit_tests.3mf</x:v>
      </x:c>
      <x:c r="C8" s="20" t="str">
        <x:v>plus4_machine_confirmed</x:v>
      </x:c>
      <x:c r="D8" s="20" t="str">
        <x:f>IFERROR(INDEX('Compatibility Gates'!$C$4:$C$87,MATCH(C8,'Compatibility Gates'!$A$4:$A$87,0)),"UNKNOWN")</x:f>
        <x:v>PASS</x:v>
      </x:c>
      <x:c r="E8" s="20" t="str">
        <x:f>IFERROR(INDEX('Compatibility Gates'!$B$4:$B$87,MATCH(C8,'Compatibility Gates'!$A$4:$A$87,0)),"UNKNOWN")</x:f>
        <x:v>machine</x:v>
      </x:c>
      <x:c r="F8" s="20" t="str">
        <x:f>IFERROR(INDEX('Compatibility Gates'!$D$4:$D$87,MATCH(C8,'Compatibility Gates'!$A$4:$A$87,0)),"UNKNOWN")</x:f>
        <x:v>machine_configuration</x:v>
      </x:c>
    </x:row>
    <x:row r="9">
      <x:c r="A9" s="16" t="str">
        <x:v>00B</x:v>
      </x:c>
      <x:c r="B9" s="16" t="str">
        <x:v>00B_ABS_phone_station_fit_tests.3mf</x:v>
      </x:c>
      <x:c r="C9" s="16" t="str">
        <x:v>plus4_protected_envelope_verified</x:v>
      </x:c>
      <x:c r="D9" s="16" t="str">
        <x:f>IFERROR(INDEX('Compatibility Gates'!$C$4:$C$87,MATCH(C9,'Compatibility Gates'!$A$4:$A$87,0)),"UNKNOWN")</x:f>
        <x:v>PASS</x:v>
      </x:c>
      <x:c r="E9" s="16" t="str">
        <x:f>IFERROR(INDEX('Compatibility Gates'!$B$4:$B$87,MATCH(C9,'Compatibility Gates'!$A$4:$A$87,0)),"UNKNOWN")</x:f>
        <x:v>machine</x:v>
      </x:c>
      <x:c r="F9" s="16" t="str">
        <x:f>IFERROR(INDEX('Compatibility Gates'!$D$4:$D$87,MATCH(C9,'Compatibility Gates'!$A$4:$A$87,0)),"UNKNOWN")</x:f>
        <x:v>machine_configuration</x:v>
      </x:c>
    </x:row>
    <x:row r="10">
      <x:c r="A10" s="20" t="str">
        <x:v>00B</x:v>
      </x:c>
      <x:c r="B10" s="20" t="str">
        <x:v>00B_ABS_phone_station_fit_tests.3mf</x:v>
      </x:c>
      <x:c r="C10" s="20" t="str">
        <x:v>nozzle_0p4_confirmed</x:v>
      </x:c>
      <x:c r="D10" s="20" t="str">
        <x:f>IFERROR(INDEX('Compatibility Gates'!$C$4:$C$87,MATCH(C10,'Compatibility Gates'!$A$4:$A$87,0)),"UNKNOWN")</x:f>
        <x:v>PASS</x:v>
      </x:c>
      <x:c r="E10" s="20" t="str">
        <x:f>IFERROR(INDEX('Compatibility Gates'!$B$4:$B$87,MATCH(C10,'Compatibility Gates'!$A$4:$A$87,0)),"UNKNOWN")</x:f>
        <x:v>machine</x:v>
      </x:c>
      <x:c r="F10" s="20" t="str">
        <x:f>IFERROR(INDEX('Compatibility Gates'!$D$4:$D$87,MATCH(C10,'Compatibility Gates'!$A$4:$A$87,0)),"UNKNOWN")</x:f>
        <x:v>machine_configuration</x:v>
      </x:c>
    </x:row>
    <x:row r="11">
      <x:c r="A11" s="16" t="str">
        <x:v>00B</x:v>
      </x:c>
      <x:c r="B11" s="16" t="str">
        <x:v>00B_ABS_phone_station_fit_tests.3mf</x:v>
      </x:c>
      <x:c r="C11" s="16" t="str">
        <x:v>abs_rapido_cradle_profile_calibrated</x:v>
      </x:c>
      <x:c r="D11" s="16" t="str">
        <x:f>IFERROR(INDEX('Compatibility Gates'!$C$4:$C$87,MATCH(C11,'Compatibility Gates'!$A$4:$A$87,0)),"UNKNOWN")</x:f>
        <x:v>PASS</x:v>
      </x:c>
      <x:c r="E11" s="16" t="str">
        <x:f>IFERROR(INDEX('Compatibility Gates'!$B$4:$B$87,MATCH(C11,'Compatibility Gates'!$A$4:$A$87,0)),"UNKNOWN")</x:f>
        <x:v>material</x:v>
      </x:c>
      <x:c r="F11" s="16" t="str">
        <x:f>IFERROR(INDEX('Compatibility Gates'!$D$4:$D$87,MATCH(C11,'Compatibility Gates'!$A$4:$A$87,0)),"UNKNOWN")</x:f>
        <x:v>abs_rapido_cradle_0p4</x:v>
      </x:c>
    </x:row>
    <x:row r="12">
      <x:c r="A12" s="20" t="str">
        <x:v>00C</x:v>
      </x:c>
      <x:c r="B12" s="20" t="str">
        <x:v>00C_ABS_tool_profile_fit_tests.3mf</x:v>
      </x:c>
      <x:c r="C12" s="20" t="str">
        <x:v>plus4_machine_confirmed</x:v>
      </x:c>
      <x:c r="D12" s="20" t="str">
        <x:f>IFERROR(INDEX('Compatibility Gates'!$C$4:$C$87,MATCH(C12,'Compatibility Gates'!$A$4:$A$87,0)),"UNKNOWN")</x:f>
        <x:v>PASS</x:v>
      </x:c>
      <x:c r="E12" s="20" t="str">
        <x:f>IFERROR(INDEX('Compatibility Gates'!$B$4:$B$87,MATCH(C12,'Compatibility Gates'!$A$4:$A$87,0)),"UNKNOWN")</x:f>
        <x:v>machine</x:v>
      </x:c>
      <x:c r="F12" s="20" t="str">
        <x:f>IFERROR(INDEX('Compatibility Gates'!$D$4:$D$87,MATCH(C12,'Compatibility Gates'!$A$4:$A$87,0)),"UNKNOWN")</x:f>
        <x:v>machine_configuration</x:v>
      </x:c>
    </x:row>
    <x:row r="13">
      <x:c r="A13" s="16" t="str">
        <x:v>00C</x:v>
      </x:c>
      <x:c r="B13" s="16" t="str">
        <x:v>00C_ABS_tool_profile_fit_tests.3mf</x:v>
      </x:c>
      <x:c r="C13" s="16" t="str">
        <x:v>plus4_protected_envelope_verified</x:v>
      </x:c>
      <x:c r="D13" s="16" t="str">
        <x:f>IFERROR(INDEX('Compatibility Gates'!$C$4:$C$87,MATCH(C13,'Compatibility Gates'!$A$4:$A$87,0)),"UNKNOWN")</x:f>
        <x:v>PASS</x:v>
      </x:c>
      <x:c r="E13" s="16" t="str">
        <x:f>IFERROR(INDEX('Compatibility Gates'!$B$4:$B$87,MATCH(C13,'Compatibility Gates'!$A$4:$A$87,0)),"UNKNOWN")</x:f>
        <x:v>machine</x:v>
      </x:c>
      <x:c r="F13" s="16" t="str">
        <x:f>IFERROR(INDEX('Compatibility Gates'!$D$4:$D$87,MATCH(C13,'Compatibility Gates'!$A$4:$A$87,0)),"UNKNOWN")</x:f>
        <x:v>machine_configuration</x:v>
      </x:c>
    </x:row>
    <x:row r="14">
      <x:c r="A14" s="20" t="str">
        <x:v>00C</x:v>
      </x:c>
      <x:c r="B14" s="20" t="str">
        <x:v>00C_ABS_tool_profile_fit_tests.3mf</x:v>
      </x:c>
      <x:c r="C14" s="20" t="str">
        <x:v>nozzle_0p4_confirmed</x:v>
      </x:c>
      <x:c r="D14" s="20" t="str">
        <x:f>IFERROR(INDEX('Compatibility Gates'!$C$4:$C$87,MATCH(C14,'Compatibility Gates'!$A$4:$A$87,0)),"UNKNOWN")</x:f>
        <x:v>PASS</x:v>
      </x:c>
      <x:c r="E14" s="20" t="str">
        <x:f>IFERROR(INDEX('Compatibility Gates'!$B$4:$B$87,MATCH(C14,'Compatibility Gates'!$A$4:$A$87,0)),"UNKNOWN")</x:f>
        <x:v>machine</x:v>
      </x:c>
      <x:c r="F14" s="20" t="str">
        <x:f>IFERROR(INDEX('Compatibility Gates'!$D$4:$D$87,MATCH(C14,'Compatibility Gates'!$A$4:$A$87,0)),"UNKNOWN")</x:f>
        <x:v>machine_configuration</x:v>
      </x:c>
    </x:row>
    <x:row r="15">
      <x:c r="A15" s="16" t="str">
        <x:v>00C</x:v>
      </x:c>
      <x:c r="B15" s="16" t="str">
        <x:v>00C_ABS_tool_profile_fit_tests.3mf</x:v>
      </x:c>
      <x:c r="C15" s="16" t="str">
        <x:v>abs_rapido_precision_profile_calibrated</x:v>
      </x:c>
      <x:c r="D15" s="16" t="str">
        <x:f>IFERROR(INDEX('Compatibility Gates'!$C$4:$C$87,MATCH(C15,'Compatibility Gates'!$A$4:$A$87,0)),"UNKNOWN")</x:f>
        <x:v>PASS</x:v>
      </x:c>
      <x:c r="E15" s="16" t="str">
        <x:f>IFERROR(INDEX('Compatibility Gates'!$B$4:$B$87,MATCH(C15,'Compatibility Gates'!$A$4:$A$87,0)),"UNKNOWN")</x:f>
        <x:v>material</x:v>
      </x:c>
      <x:c r="F15" s="16" t="str">
        <x:f>IFERROR(INDEX('Compatibility Gates'!$D$4:$D$87,MATCH(C15,'Compatibility Gates'!$A$4:$A$87,0)),"UNKNOWN")</x:f>
        <x:v>abs_rapido_precision_0p4</x:v>
      </x:c>
    </x:row>
    <x:row r="16">
      <x:c r="A16" s="20" t="str">
        <x:v>00D</x:v>
      </x:c>
      <x:c r="B16" s="20" t="str">
        <x:v>00D_PETG_adapter_profile_fit_tests.3mf</x:v>
      </x:c>
      <x:c r="C16" s="20" t="str">
        <x:v>plus4_machine_confirmed</x:v>
      </x:c>
      <x:c r="D16" s="20" t="str">
        <x:f>IFERROR(INDEX('Compatibility Gates'!$C$4:$C$87,MATCH(C16,'Compatibility Gates'!$A$4:$A$87,0)),"UNKNOWN")</x:f>
        <x:v>PASS</x:v>
      </x:c>
      <x:c r="E16" s="20" t="str">
        <x:f>IFERROR(INDEX('Compatibility Gates'!$B$4:$B$87,MATCH(C16,'Compatibility Gates'!$A$4:$A$87,0)),"UNKNOWN")</x:f>
        <x:v>machine</x:v>
      </x:c>
      <x:c r="F16" s="20" t="str">
        <x:f>IFERROR(INDEX('Compatibility Gates'!$D$4:$D$87,MATCH(C16,'Compatibility Gates'!$A$4:$A$87,0)),"UNKNOWN")</x:f>
        <x:v>machine_configuration</x:v>
      </x:c>
    </x:row>
    <x:row r="17">
      <x:c r="A17" s="16" t="str">
        <x:v>00D</x:v>
      </x:c>
      <x:c r="B17" s="16" t="str">
        <x:v>00D_PETG_adapter_profile_fit_tests.3mf</x:v>
      </x:c>
      <x:c r="C17" s="16" t="str">
        <x:v>plus4_protected_envelope_verified</x:v>
      </x:c>
      <x:c r="D17" s="16" t="str">
        <x:f>IFERROR(INDEX('Compatibility Gates'!$C$4:$C$87,MATCH(C17,'Compatibility Gates'!$A$4:$A$87,0)),"UNKNOWN")</x:f>
        <x:v>PASS</x:v>
      </x:c>
      <x:c r="E17" s="16" t="str">
        <x:f>IFERROR(INDEX('Compatibility Gates'!$B$4:$B$87,MATCH(C17,'Compatibility Gates'!$A$4:$A$87,0)),"UNKNOWN")</x:f>
        <x:v>machine</x:v>
      </x:c>
      <x:c r="F17" s="16" t="str">
        <x:f>IFERROR(INDEX('Compatibility Gates'!$D$4:$D$87,MATCH(C17,'Compatibility Gates'!$A$4:$A$87,0)),"UNKNOWN")</x:f>
        <x:v>machine_configuration</x:v>
      </x:c>
    </x:row>
    <x:row r="18">
      <x:c r="A18" s="20" t="str">
        <x:v>00D</x:v>
      </x:c>
      <x:c r="B18" s="20" t="str">
        <x:v>00D_PETG_adapter_profile_fit_tests.3mf</x:v>
      </x:c>
      <x:c r="C18" s="20" t="str">
        <x:v>nozzle_0p4_confirmed</x:v>
      </x:c>
      <x:c r="D18" s="20" t="str">
        <x:f>IFERROR(INDEX('Compatibility Gates'!$C$4:$C$87,MATCH(C18,'Compatibility Gates'!$A$4:$A$87,0)),"UNKNOWN")</x:f>
        <x:v>PASS</x:v>
      </x:c>
      <x:c r="E18" s="20" t="str">
        <x:f>IFERROR(INDEX('Compatibility Gates'!$B$4:$B$87,MATCH(C18,'Compatibility Gates'!$A$4:$A$87,0)),"UNKNOWN")</x:f>
        <x:v>machine</x:v>
      </x:c>
      <x:c r="F18" s="20" t="str">
        <x:f>IFERROR(INDEX('Compatibility Gates'!$D$4:$D$87,MATCH(C18,'Compatibility Gates'!$A$4:$A$87,0)),"UNKNOWN")</x:f>
        <x:v>machine_configuration</x:v>
      </x:c>
    </x:row>
    <x:row r="19">
      <x:c r="A19" s="16" t="str">
        <x:v>00D</x:v>
      </x:c>
      <x:c r="B19" s="16" t="str">
        <x:v>00D_PETG_adapter_profile_fit_tests.3mf</x:v>
      </x:c>
      <x:c r="C19" s="16" t="str">
        <x:v>petg_adapter_profile_calibrated</x:v>
      </x:c>
      <x:c r="D19" s="16" t="str">
        <x:f>IFERROR(INDEX('Compatibility Gates'!$C$4:$C$87,MATCH(C19,'Compatibility Gates'!$A$4:$A$87,0)),"UNKNOWN")</x:f>
        <x:v>NOT_TESTED</x:v>
      </x:c>
      <x:c r="E19" s="16" t="str">
        <x:f>IFERROR(INDEX('Compatibility Gates'!$B$4:$B$87,MATCH(C19,'Compatibility Gates'!$A$4:$A$87,0)),"UNKNOWN")</x:f>
        <x:v>material</x:v>
      </x:c>
      <x:c r="F19" s="16" t="str">
        <x:f>IFERROR(INDEX('Compatibility Gates'!$D$4:$D$87,MATCH(C19,'Compatibility Gates'!$A$4:$A$87,0)),"UNKNOWN")</x:f>
        <x:v>petg_adapter_0p4</x:v>
      </x:c>
    </x:row>
    <x:row r="20">
      <x:c r="A20" s="20" t="str">
        <x:v>00E</x:v>
      </x:c>
      <x:c r="B20" s="20" t="str">
        <x:v>00E_ABS_general_setup_tests.3mf</x:v>
      </x:c>
      <x:c r="C20" s="20" t="str">
        <x:v>plus4_machine_confirmed</x:v>
      </x:c>
      <x:c r="D20" s="20" t="str">
        <x:f>IFERROR(INDEX('Compatibility Gates'!$C$4:$C$87,MATCH(C20,'Compatibility Gates'!$A$4:$A$87,0)),"UNKNOWN")</x:f>
        <x:v>PASS</x:v>
      </x:c>
      <x:c r="E20" s="20" t="str">
        <x:f>IFERROR(INDEX('Compatibility Gates'!$B$4:$B$87,MATCH(C20,'Compatibility Gates'!$A$4:$A$87,0)),"UNKNOWN")</x:f>
        <x:v>machine</x:v>
      </x:c>
      <x:c r="F20" s="20" t="str">
        <x:f>IFERROR(INDEX('Compatibility Gates'!$D$4:$D$87,MATCH(C20,'Compatibility Gates'!$A$4:$A$87,0)),"UNKNOWN")</x:f>
        <x:v>machine_configuration</x:v>
      </x:c>
    </x:row>
    <x:row r="21">
      <x:c r="A21" s="16" t="str">
        <x:v>00E</x:v>
      </x:c>
      <x:c r="B21" s="16" t="str">
        <x:v>00E_ABS_general_setup_tests.3mf</x:v>
      </x:c>
      <x:c r="C21" s="16" t="str">
        <x:v>plus4_protected_envelope_verified</x:v>
      </x:c>
      <x:c r="D21" s="16" t="str">
        <x:f>IFERROR(INDEX('Compatibility Gates'!$C$4:$C$87,MATCH(C21,'Compatibility Gates'!$A$4:$A$87,0)),"UNKNOWN")</x:f>
        <x:v>PASS</x:v>
      </x:c>
      <x:c r="E21" s="16" t="str">
        <x:f>IFERROR(INDEX('Compatibility Gates'!$B$4:$B$87,MATCH(C21,'Compatibility Gates'!$A$4:$A$87,0)),"UNKNOWN")</x:f>
        <x:v>machine</x:v>
      </x:c>
      <x:c r="F21" s="16" t="str">
        <x:f>IFERROR(INDEX('Compatibility Gates'!$D$4:$D$87,MATCH(C21,'Compatibility Gates'!$A$4:$A$87,0)),"UNKNOWN")</x:f>
        <x:v>machine_configuration</x:v>
      </x:c>
    </x:row>
    <x:row r="22">
      <x:c r="A22" s="20" t="str">
        <x:v>00E</x:v>
      </x:c>
      <x:c r="B22" s="20" t="str">
        <x:v>00E_ABS_general_setup_tests.3mf</x:v>
      </x:c>
      <x:c r="C22" s="20" t="str">
        <x:v>nozzle_0p4_confirmed</x:v>
      </x:c>
      <x:c r="D22" s="20" t="str">
        <x:f>IFERROR(INDEX('Compatibility Gates'!$C$4:$C$87,MATCH(C22,'Compatibility Gates'!$A$4:$A$87,0)),"UNKNOWN")</x:f>
        <x:v>PASS</x:v>
      </x:c>
      <x:c r="E22" s="20" t="str">
        <x:f>IFERROR(INDEX('Compatibility Gates'!$B$4:$B$87,MATCH(C22,'Compatibility Gates'!$A$4:$A$87,0)),"UNKNOWN")</x:f>
        <x:v>machine</x:v>
      </x:c>
      <x:c r="F22" s="20" t="str">
        <x:f>IFERROR(INDEX('Compatibility Gates'!$D$4:$D$87,MATCH(C22,'Compatibility Gates'!$A$4:$A$87,0)),"UNKNOWN")</x:f>
        <x:v>machine_configuration</x:v>
      </x:c>
    </x:row>
    <x:row r="23">
      <x:c r="A23" s="16" t="str">
        <x:v>00E</x:v>
      </x:c>
      <x:c r="B23" s="16" t="str">
        <x:v>00E_ABS_general_setup_tests.3mf</x:v>
      </x:c>
      <x:c r="C23" s="16" t="str">
        <x:v>abs_rapido_general_profile_calibrated</x:v>
      </x:c>
      <x:c r="D23" s="16" t="str">
        <x:f>IFERROR(INDEX('Compatibility Gates'!$C$4:$C$87,MATCH(C23,'Compatibility Gates'!$A$4:$A$87,0)),"UNKNOWN")</x:f>
        <x:v>PASS</x:v>
      </x:c>
      <x:c r="E23" s="16" t="str">
        <x:f>IFERROR(INDEX('Compatibility Gates'!$B$4:$B$87,MATCH(C23,'Compatibility Gates'!$A$4:$A$87,0)),"UNKNOWN")</x:f>
        <x:v>material</x:v>
      </x:c>
      <x:c r="F23" s="16" t="str">
        <x:f>IFERROR(INDEX('Compatibility Gates'!$D$4:$D$87,MATCH(C23,'Compatibility Gates'!$A$4:$A$87,0)),"UNKNOWN")</x:f>
        <x:v>abs_rapido_general_0p4</x:v>
      </x:c>
    </x:row>
    <x:row r="24">
      <x:c r="A24" s="20" t="str">
        <x:v>00F</x:v>
      </x:c>
      <x:c r="B24" s="20" t="str">
        <x:v>00F_ABS_calibration_profile_clearance_test.3mf</x:v>
      </x:c>
      <x:c r="C24" s="20" t="str">
        <x:v>plus4_machine_confirmed</x:v>
      </x:c>
      <x:c r="D24" s="20" t="str">
        <x:f>IFERROR(INDEX('Compatibility Gates'!$C$4:$C$87,MATCH(C24,'Compatibility Gates'!$A$4:$A$87,0)),"UNKNOWN")</x:f>
        <x:v>PASS</x:v>
      </x:c>
      <x:c r="E24" s="20" t="str">
        <x:f>IFERROR(INDEX('Compatibility Gates'!$B$4:$B$87,MATCH(C24,'Compatibility Gates'!$A$4:$A$87,0)),"UNKNOWN")</x:f>
        <x:v>machine</x:v>
      </x:c>
      <x:c r="F24" s="20" t="str">
        <x:f>IFERROR(INDEX('Compatibility Gates'!$D$4:$D$87,MATCH(C24,'Compatibility Gates'!$A$4:$A$87,0)),"UNKNOWN")</x:f>
        <x:v>machine_configuration</x:v>
      </x:c>
    </x:row>
    <x:row r="25">
      <x:c r="A25" s="16" t="str">
        <x:v>00F</x:v>
      </x:c>
      <x:c r="B25" s="16" t="str">
        <x:v>00F_ABS_calibration_profile_clearance_test.3mf</x:v>
      </x:c>
      <x:c r="C25" s="16" t="str">
        <x:v>plus4_protected_envelope_verified</x:v>
      </x:c>
      <x:c r="D25" s="16" t="str">
        <x:f>IFERROR(INDEX('Compatibility Gates'!$C$4:$C$87,MATCH(C25,'Compatibility Gates'!$A$4:$A$87,0)),"UNKNOWN")</x:f>
        <x:v>PASS</x:v>
      </x:c>
      <x:c r="E25" s="16" t="str">
        <x:f>IFERROR(INDEX('Compatibility Gates'!$B$4:$B$87,MATCH(C25,'Compatibility Gates'!$A$4:$A$87,0)),"UNKNOWN")</x:f>
        <x:v>machine</x:v>
      </x:c>
      <x:c r="F25" s="16" t="str">
        <x:f>IFERROR(INDEX('Compatibility Gates'!$D$4:$D$87,MATCH(C25,'Compatibility Gates'!$A$4:$A$87,0)),"UNKNOWN")</x:f>
        <x:v>machine_configuration</x:v>
      </x:c>
    </x:row>
    <x:row r="26">
      <x:c r="A26" s="20" t="str">
        <x:v>00F</x:v>
      </x:c>
      <x:c r="B26" s="20" t="str">
        <x:v>00F_ABS_calibration_profile_clearance_test.3mf</x:v>
      </x:c>
      <x:c r="C26" s="20" t="str">
        <x:v>nozzle_0p4_confirmed</x:v>
      </x:c>
      <x:c r="D26" s="20" t="str">
        <x:f>IFERROR(INDEX('Compatibility Gates'!$C$4:$C$87,MATCH(C26,'Compatibility Gates'!$A$4:$A$87,0)),"UNKNOWN")</x:f>
        <x:v>PASS</x:v>
      </x:c>
      <x:c r="E26" s="20" t="str">
        <x:f>IFERROR(INDEX('Compatibility Gates'!$B$4:$B$87,MATCH(C26,'Compatibility Gates'!$A$4:$A$87,0)),"UNKNOWN")</x:f>
        <x:v>machine</x:v>
      </x:c>
      <x:c r="F26" s="20" t="str">
        <x:f>IFERROR(INDEX('Compatibility Gates'!$D$4:$D$87,MATCH(C26,'Compatibility Gates'!$A$4:$A$87,0)),"UNKNOWN")</x:f>
        <x:v>machine_configuration</x:v>
      </x:c>
    </x:row>
    <x:row r="27">
      <x:c r="A27" s="16" t="str">
        <x:v>00F</x:v>
      </x:c>
      <x:c r="B27" s="16" t="str">
        <x:v>00F_ABS_calibration_profile_clearance_test.3mf</x:v>
      </x:c>
      <x:c r="C27" s="16" t="str">
        <x:v>abs_rapido_calibration_profile_calibrated</x:v>
      </x:c>
      <x:c r="D27" s="16" t="str">
        <x:f>IFERROR(INDEX('Compatibility Gates'!$C$4:$C$87,MATCH(C27,'Compatibility Gates'!$A$4:$A$87,0)),"UNKNOWN")</x:f>
        <x:v>PASS</x:v>
      </x:c>
      <x:c r="E27" s="16" t="str">
        <x:f>IFERROR(INDEX('Compatibility Gates'!$B$4:$B$87,MATCH(C27,'Compatibility Gates'!$A$4:$A$87,0)),"UNKNOWN")</x:f>
        <x:v>material</x:v>
      </x:c>
      <x:c r="F27" s="16" t="str">
        <x:f>IFERROR(INDEX('Compatibility Gates'!$D$4:$D$87,MATCH(C27,'Compatibility Gates'!$A$4:$A$87,0)),"UNKNOWN")</x:f>
        <x:v>abs_rapido_calibration_0p4</x:v>
      </x:c>
    </x:row>
    <x:row r="28">
      <x:c r="A28" s="20" t="str">
        <x:v>01</x:v>
      </x:c>
      <x:c r="B28" s="20" t="str">
        <x:v>01_ABS_keyboard_station_left.3mf</x:v>
      </x:c>
      <x:c r="C28" s="20" t="str">
        <x:v>plus4_machine_confirmed</x:v>
      </x:c>
      <x:c r="D28" s="20" t="str">
        <x:f>IFERROR(INDEX('Compatibility Gates'!$C$4:$C$87,MATCH(C28,'Compatibility Gates'!$A$4:$A$87,0)),"UNKNOWN")</x:f>
        <x:v>PASS</x:v>
      </x:c>
      <x:c r="E28" s="20" t="str">
        <x:f>IFERROR(INDEX('Compatibility Gates'!$B$4:$B$87,MATCH(C28,'Compatibility Gates'!$A$4:$A$87,0)),"UNKNOWN")</x:f>
        <x:v>machine</x:v>
      </x:c>
      <x:c r="F28" s="20" t="str">
        <x:f>IFERROR(INDEX('Compatibility Gates'!$D$4:$D$87,MATCH(C28,'Compatibility Gates'!$A$4:$A$87,0)),"UNKNOWN")</x:f>
        <x:v>machine_configuration</x:v>
      </x:c>
    </x:row>
    <x:row r="29">
      <x:c r="A29" s="16" t="str">
        <x:v>01</x:v>
      </x:c>
      <x:c r="B29" s="16" t="str">
        <x:v>01_ABS_keyboard_station_left.3mf</x:v>
      </x:c>
      <x:c r="C29" s="16" t="str">
        <x:v>plus4_protected_envelope_verified</x:v>
      </x:c>
      <x:c r="D29" s="16" t="str">
        <x:f>IFERROR(INDEX('Compatibility Gates'!$C$4:$C$87,MATCH(C29,'Compatibility Gates'!$A$4:$A$87,0)),"UNKNOWN")</x:f>
        <x:v>PASS</x:v>
      </x:c>
      <x:c r="E29" s="16" t="str">
        <x:f>IFERROR(INDEX('Compatibility Gates'!$B$4:$B$87,MATCH(C29,'Compatibility Gates'!$A$4:$A$87,0)),"UNKNOWN")</x:f>
        <x:v>machine</x:v>
      </x:c>
      <x:c r="F29" s="16" t="str">
        <x:f>IFERROR(INDEX('Compatibility Gates'!$D$4:$D$87,MATCH(C29,'Compatibility Gates'!$A$4:$A$87,0)),"UNKNOWN")</x:f>
        <x:v>machine_configuration</x:v>
      </x:c>
    </x:row>
    <x:row r="30">
      <x:c r="A30" s="20" t="str">
        <x:v>01</x:v>
      </x:c>
      <x:c r="B30" s="20" t="str">
        <x:v>01_ABS_keyboard_station_left.3mf</x:v>
      </x:c>
      <x:c r="C30" s="20" t="str">
        <x:v>nozzle_0p4_confirmed</x:v>
      </x:c>
      <x:c r="D30" s="20" t="str">
        <x:f>IFERROR(INDEX('Compatibility Gates'!$C$4:$C$87,MATCH(C30,'Compatibility Gates'!$A$4:$A$87,0)),"UNKNOWN")</x:f>
        <x:v>PASS</x:v>
      </x:c>
      <x:c r="E30" s="20" t="str">
        <x:f>IFERROR(INDEX('Compatibility Gates'!$B$4:$B$87,MATCH(C30,'Compatibility Gates'!$A$4:$A$87,0)),"UNKNOWN")</x:f>
        <x:v>machine</x:v>
      </x:c>
      <x:c r="F30" s="20" t="str">
        <x:f>IFERROR(INDEX('Compatibility Gates'!$D$4:$D$87,MATCH(C30,'Compatibility Gates'!$A$4:$A$87,0)),"UNKNOWN")</x:f>
        <x:v>machine_configuration</x:v>
      </x:c>
    </x:row>
    <x:row r="31">
      <x:c r="A31" s="16" t="str">
        <x:v>01</x:v>
      </x:c>
      <x:c r="B31" s="16" t="str">
        <x:v>01_ABS_keyboard_station_left.3mf</x:v>
      </x:c>
      <x:c r="C31" s="16" t="str">
        <x:v>abs_rapido_tray_profile_calibrated</x:v>
      </x:c>
      <x:c r="D31" s="16" t="str">
        <x:f>IFERROR(INDEX('Compatibility Gates'!$C$4:$C$87,MATCH(C31,'Compatibility Gates'!$A$4:$A$87,0)),"UNKNOWN")</x:f>
        <x:v>PASS</x:v>
      </x:c>
      <x:c r="E31" s="16" t="str">
        <x:f>IFERROR(INDEX('Compatibility Gates'!$B$4:$B$87,MATCH(C31,'Compatibility Gates'!$A$4:$A$87,0)),"UNKNOWN")</x:f>
        <x:v>material</x:v>
      </x:c>
      <x:c r="F31" s="16" t="str">
        <x:f>IFERROR(INDEX('Compatibility Gates'!$D$4:$D$87,MATCH(C31,'Compatibility Gates'!$A$4:$A$87,0)),"UNKNOWN")</x:f>
        <x:v>abs_rapido_tray_structural_0p4</x:v>
      </x:c>
    </x:row>
    <x:row r="32">
      <x:c r="A32" s="20" t="str">
        <x:v>01</x:v>
      </x:c>
      <x:c r="B32" s="20" t="str">
        <x:v>01_ABS_keyboard_station_left.3mf</x:v>
      </x:c>
      <x:c r="C32" s="20" t="str">
        <x:v>keyboard_dimensions_measured</x:v>
      </x:c>
      <x:c r="D32" s="20" t="str">
        <x:f>IFERROR(INDEX('Compatibility Gates'!$C$4:$C$87,MATCH(C32,'Compatibility Gates'!$A$4:$A$87,0)),"UNKNOWN")</x:f>
        <x:v>NOT_TESTED</x:v>
      </x:c>
      <x:c r="E32" s="20" t="str">
        <x:f>IFERROR(INDEX('Compatibility Gates'!$B$4:$B$87,MATCH(C32,'Compatibility Gates'!$A$4:$A$87,0)),"UNKNOWN")</x:f>
        <x:v>measurement</x:v>
      </x:c>
      <x:c r="F32" s="20" t="str">
        <x:f>IFERROR(INDEX('Compatibility Gates'!$D$4:$D$87,MATCH(C32,'Compatibility Gates'!$A$4:$A$87,0)),"UNKNOWN")</x:f>
        <x:v>geometry_input</x:v>
      </x:c>
    </x:row>
    <x:row r="33">
      <x:c r="A33" s="16" t="str">
        <x:v>01</x:v>
      </x:c>
      <x:c r="B33" s="16" t="str">
        <x:v>01_ABS_keyboard_station_left.3mf</x:v>
      </x:c>
      <x:c r="C33" s="16" t="str">
        <x:v>keyboard_corner_coupon_pass</x:v>
      </x:c>
      <x:c r="D33" s="16" t="str">
        <x:f>IFERROR(INDEX('Compatibility Gates'!$C$4:$C$87,MATCH(C33,'Compatibility Gates'!$A$4:$A$87,0)),"UNKNOWN")</x:f>
        <x:v>NOT_TESTED</x:v>
      </x:c>
      <x:c r="E33" s="16" t="str">
        <x:f>IFERROR(INDEX('Compatibility Gates'!$B$4:$B$87,MATCH(C33,'Compatibility Gates'!$A$4:$A$87,0)),"UNKNOWN")</x:f>
        <x:v>coupon</x:v>
      </x:c>
      <x:c r="F33" s="16" t="str">
        <x:f>IFERROR(INDEX('Compatibility Gates'!$D$4:$D$87,MATCH(C33,'Compatibility Gates'!$A$4:$A$87,0)),"UNKNOWN")</x:f>
        <x:v>abs_rapido_tray_structural_0p4</x:v>
      </x:c>
    </x:row>
    <x:row r="34">
      <x:c r="A34" s="20" t="str">
        <x:v>01</x:v>
      </x:c>
      <x:c r="B34" s="20" t="str">
        <x:v>01_ABS_keyboard_station_left.3mf</x:v>
      </x:c>
      <x:c r="C34" s="20" t="str">
        <x:v>keyboard_station_registration_coupon_pass</x:v>
      </x:c>
      <x:c r="D34" s="20" t="str">
        <x:f>IFERROR(INDEX('Compatibility Gates'!$C$4:$C$87,MATCH(C34,'Compatibility Gates'!$A$4:$A$87,0)),"UNKNOWN")</x:f>
        <x:v>NOT_TESTED</x:v>
      </x:c>
      <x:c r="E34" s="20" t="str">
        <x:f>IFERROR(INDEX('Compatibility Gates'!$B$4:$B$87,MATCH(C34,'Compatibility Gates'!$A$4:$A$87,0)),"UNKNOWN")</x:f>
        <x:v>coupon</x:v>
      </x:c>
      <x:c r="F34" s="20" t="str">
        <x:f>IFERROR(INDEX('Compatibility Gates'!$D$4:$D$87,MATCH(C34,'Compatibility Gates'!$A$4:$A$87,0)),"UNKNOWN")</x:f>
        <x:v>abs_rapido_tray_structural_0p4</x:v>
      </x:c>
    </x:row>
    <x:row r="35">
      <x:c r="A35" s="16" t="str">
        <x:v>01</x:v>
      </x:c>
      <x:c r="B35" s="16" t="str">
        <x:v>01_ABS_keyboard_station_left.3mf</x:v>
      </x:c>
      <x:c r="C35" s="16" t="str">
        <x:v>tray_clearance_holes_coupon_pass</x:v>
      </x:c>
      <x:c r="D35" s="16" t="str">
        <x:f>IFERROR(INDEX('Compatibility Gates'!$C$4:$C$87,MATCH(C35,'Compatibility Gates'!$A$4:$A$87,0)),"UNKNOWN")</x:f>
        <x:v>NOT_TESTED</x:v>
      </x:c>
      <x:c r="E35" s="16" t="str">
        <x:f>IFERROR(INDEX('Compatibility Gates'!$B$4:$B$87,MATCH(C35,'Compatibility Gates'!$A$4:$A$87,0)),"UNKNOWN")</x:f>
        <x:v>coupon</x:v>
      </x:c>
      <x:c r="F35" s="16" t="str">
        <x:f>IFERROR(INDEX('Compatibility Gates'!$D$4:$D$87,MATCH(C35,'Compatibility Gates'!$A$4:$A$87,0)),"UNKNOWN")</x:f>
        <x:v>abs_rapido_tray_structural_0p4</x:v>
      </x:c>
    </x:row>
    <x:row r="36">
      <x:c r="A36" s="20" t="str">
        <x:v>01</x:v>
      </x:c>
      <x:c r="B36" s="20" t="str">
        <x:v>01_ABS_keyboard_station_left.3mf</x:v>
      </x:c>
      <x:c r="C36" s="20" t="str">
        <x:v>geometry_matches_measurements</x:v>
      </x:c>
      <x:c r="D36" s="20" t="str">
        <x:f>IFERROR(INDEX('Compatibility Gates'!$C$4:$C$87,MATCH(C36,'Compatibility Gates'!$A$4:$A$87,0)),"UNKNOWN")</x:f>
        <x:v>NOT_TESTED</x:v>
      </x:c>
      <x:c r="E36" s="20" t="str">
        <x:f>IFERROR(INDEX('Compatibility Gates'!$B$4:$B$87,MATCH(C36,'Compatibility Gates'!$A$4:$A$87,0)),"UNKNOWN")</x:f>
        <x:v>release</x:v>
      </x:c>
      <x:c r="F36" s="20" t="str">
        <x:f>IFERROR(INDEX('Compatibility Gates'!$D$4:$D$87,MATCH(C36,'Compatibility Gates'!$A$4:$A$87,0)),"UNKNOWN")</x:f>
        <x:v>generated_geometry</x:v>
      </x:c>
    </x:row>
    <x:row r="37">
      <x:c r="A37" s="16" t="str">
        <x:v>01</x:v>
      </x:c>
      <x:c r="B37" s="16" t="str">
        <x:v>01_ABS_keyboard_station_left.3mf</x:v>
      </x:c>
      <x:c r="C37" s="16" t="str">
        <x:v>qidi_studio_roundtrip_confirmed</x:v>
      </x:c>
      <x:c r="D37" s="16" t="str">
        <x:f>IFERROR(INDEX('Compatibility Gates'!$C$4:$C$87,MATCH(C37,'Compatibility Gates'!$A$4:$A$87,0)),"UNKNOWN")</x:f>
        <x:v>NOT_TESTED</x:v>
      </x:c>
      <x:c r="E37" s="16" t="str">
        <x:f>IFERROR(INDEX('Compatibility Gates'!$B$4:$B$87,MATCH(C37,'Compatibility Gates'!$A$4:$A$87,0)),"UNKNOWN")</x:f>
        <x:v>release</x:v>
      </x:c>
      <x:c r="F37" s="16" t="str">
        <x:f>IFERROR(INDEX('Compatibility Gates'!$D$4:$D$87,MATCH(C37,'Compatibility Gates'!$A$4:$A$87,0)),"UNKNOWN")</x:f>
        <x:v>all_active_profiles</x:v>
      </x:c>
    </x:row>
    <x:row r="38">
      <x:c r="A38" s="20" t="str">
        <x:v>02</x:v>
      </x:c>
      <x:c r="B38" s="20" t="str">
        <x:v>02_ABS_keyboard_station_right.3mf</x:v>
      </x:c>
      <x:c r="C38" s="20" t="str">
        <x:v>plus4_machine_confirmed</x:v>
      </x:c>
      <x:c r="D38" s="20" t="str">
        <x:f>IFERROR(INDEX('Compatibility Gates'!$C$4:$C$87,MATCH(C38,'Compatibility Gates'!$A$4:$A$87,0)),"UNKNOWN")</x:f>
        <x:v>PASS</x:v>
      </x:c>
      <x:c r="E38" s="20" t="str">
        <x:f>IFERROR(INDEX('Compatibility Gates'!$B$4:$B$87,MATCH(C38,'Compatibility Gates'!$A$4:$A$87,0)),"UNKNOWN")</x:f>
        <x:v>machine</x:v>
      </x:c>
      <x:c r="F38" s="20" t="str">
        <x:f>IFERROR(INDEX('Compatibility Gates'!$D$4:$D$87,MATCH(C38,'Compatibility Gates'!$A$4:$A$87,0)),"UNKNOWN")</x:f>
        <x:v>machine_configuration</x:v>
      </x:c>
    </x:row>
    <x:row r="39">
      <x:c r="A39" s="16" t="str">
        <x:v>02</x:v>
      </x:c>
      <x:c r="B39" s="16" t="str">
        <x:v>02_ABS_keyboard_station_right.3mf</x:v>
      </x:c>
      <x:c r="C39" s="16" t="str">
        <x:v>plus4_protected_envelope_verified</x:v>
      </x:c>
      <x:c r="D39" s="16" t="str">
        <x:f>IFERROR(INDEX('Compatibility Gates'!$C$4:$C$87,MATCH(C39,'Compatibility Gates'!$A$4:$A$87,0)),"UNKNOWN")</x:f>
        <x:v>PASS</x:v>
      </x:c>
      <x:c r="E39" s="16" t="str">
        <x:f>IFERROR(INDEX('Compatibility Gates'!$B$4:$B$87,MATCH(C39,'Compatibility Gates'!$A$4:$A$87,0)),"UNKNOWN")</x:f>
        <x:v>machine</x:v>
      </x:c>
      <x:c r="F39" s="16" t="str">
        <x:f>IFERROR(INDEX('Compatibility Gates'!$D$4:$D$87,MATCH(C39,'Compatibility Gates'!$A$4:$A$87,0)),"UNKNOWN")</x:f>
        <x:v>machine_configuration</x:v>
      </x:c>
    </x:row>
    <x:row r="40">
      <x:c r="A40" s="20" t="str">
        <x:v>02</x:v>
      </x:c>
      <x:c r="B40" s="20" t="str">
        <x:v>02_ABS_keyboard_station_right.3mf</x:v>
      </x:c>
      <x:c r="C40" s="20" t="str">
        <x:v>nozzle_0p4_confirmed</x:v>
      </x:c>
      <x:c r="D40" s="20" t="str">
        <x:f>IFERROR(INDEX('Compatibility Gates'!$C$4:$C$87,MATCH(C40,'Compatibility Gates'!$A$4:$A$87,0)),"UNKNOWN")</x:f>
        <x:v>PASS</x:v>
      </x:c>
      <x:c r="E40" s="20" t="str">
        <x:f>IFERROR(INDEX('Compatibility Gates'!$B$4:$B$87,MATCH(C40,'Compatibility Gates'!$A$4:$A$87,0)),"UNKNOWN")</x:f>
        <x:v>machine</x:v>
      </x:c>
      <x:c r="F40" s="20" t="str">
        <x:f>IFERROR(INDEX('Compatibility Gates'!$D$4:$D$87,MATCH(C40,'Compatibility Gates'!$A$4:$A$87,0)),"UNKNOWN")</x:f>
        <x:v>machine_configuration</x:v>
      </x:c>
    </x:row>
    <x:row r="41">
      <x:c r="A41" s="16" t="str">
        <x:v>02</x:v>
      </x:c>
      <x:c r="B41" s="16" t="str">
        <x:v>02_ABS_keyboard_station_right.3mf</x:v>
      </x:c>
      <x:c r="C41" s="16" t="str">
        <x:v>abs_rapido_tray_profile_calibrated</x:v>
      </x:c>
      <x:c r="D41" s="16" t="str">
        <x:f>IFERROR(INDEX('Compatibility Gates'!$C$4:$C$87,MATCH(C41,'Compatibility Gates'!$A$4:$A$87,0)),"UNKNOWN")</x:f>
        <x:v>PASS</x:v>
      </x:c>
      <x:c r="E41" s="16" t="str">
        <x:f>IFERROR(INDEX('Compatibility Gates'!$B$4:$B$87,MATCH(C41,'Compatibility Gates'!$A$4:$A$87,0)),"UNKNOWN")</x:f>
        <x:v>material</x:v>
      </x:c>
      <x:c r="F41" s="16" t="str">
        <x:f>IFERROR(INDEX('Compatibility Gates'!$D$4:$D$87,MATCH(C41,'Compatibility Gates'!$A$4:$A$87,0)),"UNKNOWN")</x:f>
        <x:v>abs_rapido_tray_structural_0p4</x:v>
      </x:c>
    </x:row>
    <x:row r="42">
      <x:c r="A42" s="20" t="str">
        <x:v>02</x:v>
      </x:c>
      <x:c r="B42" s="20" t="str">
        <x:v>02_ABS_keyboard_station_right.3mf</x:v>
      </x:c>
      <x:c r="C42" s="20" t="str">
        <x:v>keyboard_dimensions_measured</x:v>
      </x:c>
      <x:c r="D42" s="20" t="str">
        <x:f>IFERROR(INDEX('Compatibility Gates'!$C$4:$C$87,MATCH(C42,'Compatibility Gates'!$A$4:$A$87,0)),"UNKNOWN")</x:f>
        <x:v>NOT_TESTED</x:v>
      </x:c>
      <x:c r="E42" s="20" t="str">
        <x:f>IFERROR(INDEX('Compatibility Gates'!$B$4:$B$87,MATCH(C42,'Compatibility Gates'!$A$4:$A$87,0)),"UNKNOWN")</x:f>
        <x:v>measurement</x:v>
      </x:c>
      <x:c r="F42" s="20" t="str">
        <x:f>IFERROR(INDEX('Compatibility Gates'!$D$4:$D$87,MATCH(C42,'Compatibility Gates'!$A$4:$A$87,0)),"UNKNOWN")</x:f>
        <x:v>geometry_input</x:v>
      </x:c>
    </x:row>
    <x:row r="43">
      <x:c r="A43" s="16" t="str">
        <x:v>02</x:v>
      </x:c>
      <x:c r="B43" s="16" t="str">
        <x:v>02_ABS_keyboard_station_right.3mf</x:v>
      </x:c>
      <x:c r="C43" s="16" t="str">
        <x:v>keyboard_corner_coupon_pass</x:v>
      </x:c>
      <x:c r="D43" s="16" t="str">
        <x:f>IFERROR(INDEX('Compatibility Gates'!$C$4:$C$87,MATCH(C43,'Compatibility Gates'!$A$4:$A$87,0)),"UNKNOWN")</x:f>
        <x:v>NOT_TESTED</x:v>
      </x:c>
      <x:c r="E43" s="16" t="str">
        <x:f>IFERROR(INDEX('Compatibility Gates'!$B$4:$B$87,MATCH(C43,'Compatibility Gates'!$A$4:$A$87,0)),"UNKNOWN")</x:f>
        <x:v>coupon</x:v>
      </x:c>
      <x:c r="F43" s="16" t="str">
        <x:f>IFERROR(INDEX('Compatibility Gates'!$D$4:$D$87,MATCH(C43,'Compatibility Gates'!$A$4:$A$87,0)),"UNKNOWN")</x:f>
        <x:v>abs_rapido_tray_structural_0p4</x:v>
      </x:c>
    </x:row>
    <x:row r="44">
      <x:c r="A44" s="20" t="str">
        <x:v>02</x:v>
      </x:c>
      <x:c r="B44" s="20" t="str">
        <x:v>02_ABS_keyboard_station_right.3mf</x:v>
      </x:c>
      <x:c r="C44" s="20" t="str">
        <x:v>keyboard_seam_coupon_pass</x:v>
      </x:c>
      <x:c r="D44" s="20" t="str">
        <x:f>IFERROR(INDEX('Compatibility Gates'!$C$4:$C$87,MATCH(C44,'Compatibility Gates'!$A$4:$A$87,0)),"UNKNOWN")</x:f>
        <x:v>NOT_TESTED</x:v>
      </x:c>
      <x:c r="E44" s="20" t="str">
        <x:f>IFERROR(INDEX('Compatibility Gates'!$B$4:$B$87,MATCH(C44,'Compatibility Gates'!$A$4:$A$87,0)),"UNKNOWN")</x:f>
        <x:v>coupon</x:v>
      </x:c>
      <x:c r="F44" s="20" t="str">
        <x:f>IFERROR(INDEX('Compatibility Gates'!$D$4:$D$87,MATCH(C44,'Compatibility Gates'!$A$4:$A$87,0)),"UNKNOWN")</x:f>
        <x:v>abs_rapido_tray_structural_0p4</x:v>
      </x:c>
    </x:row>
    <x:row r="45">
      <x:c r="A45" s="16" t="str">
        <x:v>02</x:v>
      </x:c>
      <x:c r="B45" s="16" t="str">
        <x:v>02_ABS_keyboard_station_right.3mf</x:v>
      </x:c>
      <x:c r="C45" s="16" t="str">
        <x:v>keyboard_station_registration_coupon_pass</x:v>
      </x:c>
      <x:c r="D45" s="16" t="str">
        <x:f>IFERROR(INDEX('Compatibility Gates'!$C$4:$C$87,MATCH(C45,'Compatibility Gates'!$A$4:$A$87,0)),"UNKNOWN")</x:f>
        <x:v>NOT_TESTED</x:v>
      </x:c>
      <x:c r="E45" s="16" t="str">
        <x:f>IFERROR(INDEX('Compatibility Gates'!$B$4:$B$87,MATCH(C45,'Compatibility Gates'!$A$4:$A$87,0)),"UNKNOWN")</x:f>
        <x:v>coupon</x:v>
      </x:c>
      <x:c r="F45" s="16" t="str">
        <x:f>IFERROR(INDEX('Compatibility Gates'!$D$4:$D$87,MATCH(C45,'Compatibility Gates'!$A$4:$A$87,0)),"UNKNOWN")</x:f>
        <x:v>abs_rapido_tray_structural_0p4</x:v>
      </x:c>
    </x:row>
    <x:row r="46">
      <x:c r="A46" s="20" t="str">
        <x:v>02</x:v>
      </x:c>
      <x:c r="B46" s="20" t="str">
        <x:v>02_ABS_keyboard_station_right.3mf</x:v>
      </x:c>
      <x:c r="C46" s="20" t="str">
        <x:v>tray_clearance_holes_coupon_pass</x:v>
      </x:c>
      <x:c r="D46" s="20" t="str">
        <x:f>IFERROR(INDEX('Compatibility Gates'!$C$4:$C$87,MATCH(C46,'Compatibility Gates'!$A$4:$A$87,0)),"UNKNOWN")</x:f>
        <x:v>NOT_TESTED</x:v>
      </x:c>
      <x:c r="E46" s="20" t="str">
        <x:f>IFERROR(INDEX('Compatibility Gates'!$B$4:$B$87,MATCH(C46,'Compatibility Gates'!$A$4:$A$87,0)),"UNKNOWN")</x:f>
        <x:v>coupon</x:v>
      </x:c>
      <x:c r="F46" s="20" t="str">
        <x:f>IFERROR(INDEX('Compatibility Gates'!$D$4:$D$87,MATCH(C46,'Compatibility Gates'!$A$4:$A$87,0)),"UNKNOWN")</x:f>
        <x:v>abs_rapido_tray_structural_0p4</x:v>
      </x:c>
    </x:row>
    <x:row r="47">
      <x:c r="A47" s="16" t="str">
        <x:v>02</x:v>
      </x:c>
      <x:c r="B47" s="16" t="str">
        <x:v>02_ABS_keyboard_station_right.3mf</x:v>
      </x:c>
      <x:c r="C47" s="16" t="str">
        <x:v>geometry_matches_measurements</x:v>
      </x:c>
      <x:c r="D47" s="16" t="str">
        <x:f>IFERROR(INDEX('Compatibility Gates'!$C$4:$C$87,MATCH(C47,'Compatibility Gates'!$A$4:$A$87,0)),"UNKNOWN")</x:f>
        <x:v>NOT_TESTED</x:v>
      </x:c>
      <x:c r="E47" s="16" t="str">
        <x:f>IFERROR(INDEX('Compatibility Gates'!$B$4:$B$87,MATCH(C47,'Compatibility Gates'!$A$4:$A$87,0)),"UNKNOWN")</x:f>
        <x:v>release</x:v>
      </x:c>
      <x:c r="F47" s="16" t="str">
        <x:f>IFERROR(INDEX('Compatibility Gates'!$D$4:$D$87,MATCH(C47,'Compatibility Gates'!$A$4:$A$87,0)),"UNKNOWN")</x:f>
        <x:v>generated_geometry</x:v>
      </x:c>
    </x:row>
    <x:row r="48">
      <x:c r="A48" s="20" t="str">
        <x:v>02</x:v>
      </x:c>
      <x:c r="B48" s="20" t="str">
        <x:v>02_ABS_keyboard_station_right.3mf</x:v>
      </x:c>
      <x:c r="C48" s="20" t="str">
        <x:v>keyboard_left_first_article_pass</x:v>
      </x:c>
      <x:c r="D48" s="20" t="str">
        <x:f>IFERROR(INDEX('Compatibility Gates'!$C$4:$C$87,MATCH(C48,'Compatibility Gates'!$A$4:$A$87,0)),"UNKNOWN")</x:f>
        <x:v>NOT_TESTED</x:v>
      </x:c>
      <x:c r="E48" s="20" t="str">
        <x:f>IFERROR(INDEX('Compatibility Gates'!$B$4:$B$87,MATCH(C48,'Compatibility Gates'!$A$4:$A$87,0)),"UNKNOWN")</x:f>
        <x:v>first_article</x:v>
      </x:c>
      <x:c r="F48" s="20" t="str">
        <x:f>IFERROR(INDEX('Compatibility Gates'!$D$4:$D$87,MATCH(C48,'Compatibility Gates'!$A$4:$A$87,0)),"UNKNOWN")</x:f>
        <x:v>abs_rapido_tray_structural_0p4</x:v>
      </x:c>
    </x:row>
    <x:row r="49">
      <x:c r="A49" s="16" t="str">
        <x:v>02</x:v>
      </x:c>
      <x:c r="B49" s="16" t="str">
        <x:v>02_ABS_keyboard_station_right.3mf</x:v>
      </x:c>
      <x:c r="C49" s="16" t="str">
        <x:v>qidi_studio_roundtrip_confirmed</x:v>
      </x:c>
      <x:c r="D49" s="16" t="str">
        <x:f>IFERROR(INDEX('Compatibility Gates'!$C$4:$C$87,MATCH(C49,'Compatibility Gates'!$A$4:$A$87,0)),"UNKNOWN")</x:f>
        <x:v>NOT_TESTED</x:v>
      </x:c>
      <x:c r="E49" s="16" t="str">
        <x:f>IFERROR(INDEX('Compatibility Gates'!$B$4:$B$87,MATCH(C49,'Compatibility Gates'!$A$4:$A$87,0)),"UNKNOWN")</x:f>
        <x:v>release</x:v>
      </x:c>
      <x:c r="F49" s="16" t="str">
        <x:f>IFERROR(INDEX('Compatibility Gates'!$D$4:$D$87,MATCH(C49,'Compatibility Gates'!$A$4:$A$87,0)),"UNKNOWN")</x:f>
        <x:v>all_active_profiles</x:v>
      </x:c>
    </x:row>
    <x:row r="50">
      <x:c r="A50" s="20" t="str">
        <x:v>03A</x:v>
      </x:c>
      <x:c r="B50" s="20" t="str">
        <x:v>03A_ABS_phone_TCP_station.3mf</x:v>
      </x:c>
      <x:c r="C50" s="20" t="str">
        <x:v>plus4_machine_confirmed</x:v>
      </x:c>
      <x:c r="D50" s="20" t="str">
        <x:f>IFERROR(INDEX('Compatibility Gates'!$C$4:$C$87,MATCH(C50,'Compatibility Gates'!$A$4:$A$87,0)),"UNKNOWN")</x:f>
        <x:v>PASS</x:v>
      </x:c>
      <x:c r="E50" s="20" t="str">
        <x:f>IFERROR(INDEX('Compatibility Gates'!$B$4:$B$87,MATCH(C50,'Compatibility Gates'!$A$4:$A$87,0)),"UNKNOWN")</x:f>
        <x:v>machine</x:v>
      </x:c>
      <x:c r="F50" s="20" t="str">
        <x:f>IFERROR(INDEX('Compatibility Gates'!$D$4:$D$87,MATCH(C50,'Compatibility Gates'!$A$4:$A$87,0)),"UNKNOWN")</x:f>
        <x:v>machine_configuration</x:v>
      </x:c>
    </x:row>
    <x:row r="51">
      <x:c r="A51" s="16" t="str">
        <x:v>03A</x:v>
      </x:c>
      <x:c r="B51" s="16" t="str">
        <x:v>03A_ABS_phone_TCP_station.3mf</x:v>
      </x:c>
      <x:c r="C51" s="16" t="str">
        <x:v>plus4_protected_envelope_verified</x:v>
      </x:c>
      <x:c r="D51" s="16" t="str">
        <x:f>IFERROR(INDEX('Compatibility Gates'!$C$4:$C$87,MATCH(C51,'Compatibility Gates'!$A$4:$A$87,0)),"UNKNOWN")</x:f>
        <x:v>PASS</x:v>
      </x:c>
      <x:c r="E51" s="16" t="str">
        <x:f>IFERROR(INDEX('Compatibility Gates'!$B$4:$B$87,MATCH(C51,'Compatibility Gates'!$A$4:$A$87,0)),"UNKNOWN")</x:f>
        <x:v>machine</x:v>
      </x:c>
      <x:c r="F51" s="16" t="str">
        <x:f>IFERROR(INDEX('Compatibility Gates'!$D$4:$D$87,MATCH(C51,'Compatibility Gates'!$A$4:$A$87,0)),"UNKNOWN")</x:f>
        <x:v>machine_configuration</x:v>
      </x:c>
    </x:row>
    <x:row r="52">
      <x:c r="A52" s="20" t="str">
        <x:v>03A</x:v>
      </x:c>
      <x:c r="B52" s="20" t="str">
        <x:v>03A_ABS_phone_TCP_station.3mf</x:v>
      </x:c>
      <x:c r="C52" s="20" t="str">
        <x:v>nozzle_0p4_confirmed</x:v>
      </x:c>
      <x:c r="D52" s="20" t="str">
        <x:f>IFERROR(INDEX('Compatibility Gates'!$C$4:$C$87,MATCH(C52,'Compatibility Gates'!$A$4:$A$87,0)),"UNKNOWN")</x:f>
        <x:v>PASS</x:v>
      </x:c>
      <x:c r="E52" s="20" t="str">
        <x:f>IFERROR(INDEX('Compatibility Gates'!$B$4:$B$87,MATCH(C52,'Compatibility Gates'!$A$4:$A$87,0)),"UNKNOWN")</x:f>
        <x:v>machine</x:v>
      </x:c>
      <x:c r="F52" s="20" t="str">
        <x:f>IFERROR(INDEX('Compatibility Gates'!$D$4:$D$87,MATCH(C52,'Compatibility Gates'!$A$4:$A$87,0)),"UNKNOWN")</x:f>
        <x:v>machine_configuration</x:v>
      </x:c>
    </x:row>
    <x:row r="53">
      <x:c r="A53" s="16" t="str">
        <x:v>03A</x:v>
      </x:c>
      <x:c r="B53" s="16" t="str">
        <x:v>03A_ABS_phone_TCP_station.3mf</x:v>
      </x:c>
      <x:c r="C53" s="16" t="str">
        <x:v>abs_rapido_cradle_profile_calibrated</x:v>
      </x:c>
      <x:c r="D53" s="16" t="str">
        <x:f>IFERROR(INDEX('Compatibility Gates'!$C$4:$C$87,MATCH(C53,'Compatibility Gates'!$A$4:$A$87,0)),"UNKNOWN")</x:f>
        <x:v>PASS</x:v>
      </x:c>
      <x:c r="E53" s="16" t="str">
        <x:f>IFERROR(INDEX('Compatibility Gates'!$B$4:$B$87,MATCH(C53,'Compatibility Gates'!$A$4:$A$87,0)),"UNKNOWN")</x:f>
        <x:v>material</x:v>
      </x:c>
      <x:c r="F53" s="16" t="str">
        <x:f>IFERROR(INDEX('Compatibility Gates'!$D$4:$D$87,MATCH(C53,'Compatibility Gates'!$A$4:$A$87,0)),"UNKNOWN")</x:f>
        <x:v>abs_rapido_cradle_0p4</x:v>
      </x:c>
    </x:row>
    <x:row r="54">
      <x:c r="A54" s="20" t="str">
        <x:v>03A</x:v>
      </x:c>
      <x:c r="B54" s="20" t="str">
        <x:v>03A_ABS_phone_TCP_station.3mf</x:v>
      </x:c>
      <x:c r="C54" s="20" t="str">
        <x:v>phone_dimensions_measured</x:v>
      </x:c>
      <x:c r="D54" s="20" t="str">
        <x:f>IFERROR(INDEX('Compatibility Gates'!$C$4:$C$87,MATCH(C54,'Compatibility Gates'!$A$4:$A$87,0)),"UNKNOWN")</x:f>
        <x:v>NOT_TESTED</x:v>
      </x:c>
      <x:c r="E54" s="20" t="str">
        <x:f>IFERROR(INDEX('Compatibility Gates'!$B$4:$B$87,MATCH(C54,'Compatibility Gates'!$A$4:$A$87,0)),"UNKNOWN")</x:f>
        <x:v>measurement</x:v>
      </x:c>
      <x:c r="F54" s="20" t="str">
        <x:f>IFERROR(INDEX('Compatibility Gates'!$D$4:$D$87,MATCH(C54,'Compatibility Gates'!$A$4:$A$87,0)),"UNKNOWN")</x:f>
        <x:v>geometry_input</x:v>
      </x:c>
    </x:row>
    <x:row r="55">
      <x:c r="A55" s="16" t="str">
        <x:v>03A</x:v>
      </x:c>
      <x:c r="B55" s="16" t="str">
        <x:v>03A_ABS_phone_TCP_station.3mf</x:v>
      </x:c>
      <x:c r="C55" s="16" t="str">
        <x:v>phone_side_features_measured</x:v>
      </x:c>
      <x:c r="D55" s="16" t="str">
        <x:f>IFERROR(INDEX('Compatibility Gates'!$C$4:$C$87,MATCH(C55,'Compatibility Gates'!$A$4:$A$87,0)),"UNKNOWN")</x:f>
        <x:v>NOT_TESTED</x:v>
      </x:c>
      <x:c r="E55" s="16" t="str">
        <x:f>IFERROR(INDEX('Compatibility Gates'!$B$4:$B$87,MATCH(C55,'Compatibility Gates'!$A$4:$A$87,0)),"UNKNOWN")</x:f>
        <x:v>measurement</x:v>
      </x:c>
      <x:c r="F55" s="16" t="str">
        <x:f>IFERROR(INDEX('Compatibility Gates'!$D$4:$D$87,MATCH(C55,'Compatibility Gates'!$A$4:$A$87,0)),"UNKNOWN")</x:f>
        <x:v>geometry_input</x:v>
      </x:c>
    </x:row>
    <x:row r="56">
      <x:c r="A56" s="20" t="str">
        <x:v>03A</x:v>
      </x:c>
      <x:c r="B56" s="20" t="str">
        <x:v>03A_ABS_phone_TCP_station.3mf</x:v>
      </x:c>
      <x:c r="C56" s="20" t="str">
        <x:v>phone_cable_measured</x:v>
      </x:c>
      <x:c r="D56" s="20" t="str">
        <x:f>IFERROR(INDEX('Compatibility Gates'!$C$4:$C$87,MATCH(C56,'Compatibility Gates'!$A$4:$A$87,0)),"UNKNOWN")</x:f>
        <x:v>NOT_TESTED</x:v>
      </x:c>
      <x:c r="E56" s="20" t="str">
        <x:f>IFERROR(INDEX('Compatibility Gates'!$B$4:$B$87,MATCH(C56,'Compatibility Gates'!$A$4:$A$87,0)),"UNKNOWN")</x:f>
        <x:v>measurement</x:v>
      </x:c>
      <x:c r="F56" s="20" t="str">
        <x:f>IFERROR(INDEX('Compatibility Gates'!$D$4:$D$87,MATCH(C56,'Compatibility Gates'!$A$4:$A$87,0)),"UNKNOWN")</x:f>
        <x:v>geometry_input</x:v>
      </x:c>
    </x:row>
    <x:row r="57">
      <x:c r="A57" s="16" t="str">
        <x:v>03A</x:v>
      </x:c>
      <x:c r="B57" s="16" t="str">
        <x:v>03A_ABS_phone_TCP_station.3mf</x:v>
      </x:c>
      <x:c r="C57" s="16" t="str">
        <x:v>phone_width_coupon_pass</x:v>
      </x:c>
      <x:c r="D57" s="16" t="str">
        <x:f>IFERROR(INDEX('Compatibility Gates'!$C$4:$C$87,MATCH(C57,'Compatibility Gates'!$A$4:$A$87,0)),"UNKNOWN")</x:f>
        <x:v>NOT_TESTED</x:v>
      </x:c>
      <x:c r="E57" s="16" t="str">
        <x:f>IFERROR(INDEX('Compatibility Gates'!$B$4:$B$87,MATCH(C57,'Compatibility Gates'!$A$4:$A$87,0)),"UNKNOWN")</x:f>
        <x:v>coupon</x:v>
      </x:c>
      <x:c r="F57" s="16" t="str">
        <x:f>IFERROR(INDEX('Compatibility Gates'!$D$4:$D$87,MATCH(C57,'Compatibility Gates'!$A$4:$A$87,0)),"UNKNOWN")</x:f>
        <x:v>abs_rapido_cradle_0p4</x:v>
      </x:c>
    </x:row>
    <x:row r="58">
      <x:c r="A58" s="20" t="str">
        <x:v>03A</x:v>
      </x:c>
      <x:c r="B58" s="20" t="str">
        <x:v>03A_ABS_phone_TCP_station.3mf</x:v>
      </x:c>
      <x:c r="C58" s="20" t="str">
        <x:v>phone_station_registration_coupon_pass</x:v>
      </x:c>
      <x:c r="D58" s="20" t="str">
        <x:f>IFERROR(INDEX('Compatibility Gates'!$C$4:$C$87,MATCH(C58,'Compatibility Gates'!$A$4:$A$87,0)),"UNKNOWN")</x:f>
        <x:v>NOT_TESTED</x:v>
      </x:c>
      <x:c r="E58" s="20" t="str">
        <x:f>IFERROR(INDEX('Compatibility Gates'!$B$4:$B$87,MATCH(C58,'Compatibility Gates'!$A$4:$A$87,0)),"UNKNOWN")</x:f>
        <x:v>coupon</x:v>
      </x:c>
      <x:c r="F58" s="20" t="str">
        <x:f>IFERROR(INDEX('Compatibility Gates'!$D$4:$D$87,MATCH(C58,'Compatibility Gates'!$A$4:$A$87,0)),"UNKNOWN")</x:f>
        <x:v>abs_rapido_cradle_0p4</x:v>
      </x:c>
    </x:row>
    <x:row r="59">
      <x:c r="A59" s="16" t="str">
        <x:v>03A</x:v>
      </x:c>
      <x:c r="B59" s="16" t="str">
        <x:v>03A_ABS_phone_TCP_station.3mf</x:v>
      </x:c>
      <x:c r="C59" s="16" t="str">
        <x:v>phone_m4_captive_nut_coupon_pass</x:v>
      </x:c>
      <x:c r="D59" s="16" t="str">
        <x:f>IFERROR(INDEX('Compatibility Gates'!$C$4:$C$87,MATCH(C59,'Compatibility Gates'!$A$4:$A$87,0)),"UNKNOWN")</x:f>
        <x:v>NOT_TESTED</x:v>
      </x:c>
      <x:c r="E59" s="16" t="str">
        <x:f>IFERROR(INDEX('Compatibility Gates'!$B$4:$B$87,MATCH(C59,'Compatibility Gates'!$A$4:$A$87,0)),"UNKNOWN")</x:f>
        <x:v>coupon</x:v>
      </x:c>
      <x:c r="F59" s="16" t="str">
        <x:f>IFERROR(INDEX('Compatibility Gates'!$D$4:$D$87,MATCH(C59,'Compatibility Gates'!$A$4:$A$87,0)),"UNKNOWN")</x:f>
        <x:v>abs_rapido_cradle_0p4</x:v>
      </x:c>
    </x:row>
    <x:row r="60">
      <x:c r="A60" s="20" t="str">
        <x:v>03A</x:v>
      </x:c>
      <x:c r="B60" s="20" t="str">
        <x:v>03A_ABS_phone_TCP_station.3mf</x:v>
      </x:c>
      <x:c r="C60" s="20" t="str">
        <x:v>phone_station_m3_insert_coupon_pass</x:v>
      </x:c>
      <x:c r="D60" s="20" t="str">
        <x:f>IFERROR(INDEX('Compatibility Gates'!$C$4:$C$87,MATCH(C60,'Compatibility Gates'!$A$4:$A$87,0)),"UNKNOWN")</x:f>
        <x:v>NOT_TESTED</x:v>
      </x:c>
      <x:c r="E60" s="20" t="str">
        <x:f>IFERROR(INDEX('Compatibility Gates'!$B$4:$B$87,MATCH(C60,'Compatibility Gates'!$A$4:$A$87,0)),"UNKNOWN")</x:f>
        <x:v>coupon</x:v>
      </x:c>
      <x:c r="F60" s="20" t="str">
        <x:f>IFERROR(INDEX('Compatibility Gates'!$D$4:$D$87,MATCH(C60,'Compatibility Gates'!$A$4:$A$87,0)),"UNKNOWN")</x:f>
        <x:v>abs_rapido_cradle_0p4</x:v>
      </x:c>
    </x:row>
    <x:row r="61">
      <x:c r="A61" s="16" t="str">
        <x:v>03A</x:v>
      </x:c>
      <x:c r="B61" s="16" t="str">
        <x:v>03A_ABS_phone_TCP_station.3mf</x:v>
      </x:c>
      <x:c r="C61" s="16" t="str">
        <x:v>cable_tie_saddle_coupon_pass</x:v>
      </x:c>
      <x:c r="D61" s="16" t="str">
        <x:f>IFERROR(INDEX('Compatibility Gates'!$C$4:$C$87,MATCH(C61,'Compatibility Gates'!$A$4:$A$87,0)),"UNKNOWN")</x:f>
        <x:v>NOT_TESTED</x:v>
      </x:c>
      <x:c r="E61" s="16" t="str">
        <x:f>IFERROR(INDEX('Compatibility Gates'!$B$4:$B$87,MATCH(C61,'Compatibility Gates'!$A$4:$A$87,0)),"UNKNOWN")</x:f>
        <x:v>coupon</x:v>
      </x:c>
      <x:c r="F61" s="16" t="str">
        <x:f>IFERROR(INDEX('Compatibility Gates'!$D$4:$D$87,MATCH(C61,'Compatibility Gates'!$A$4:$A$87,0)),"UNKNOWN")</x:f>
        <x:v>abs_rapido_cradle_0p4</x:v>
      </x:c>
    </x:row>
    <x:row r="62">
      <x:c r="A62" s="20" t="str">
        <x:v>03A</x:v>
      </x:c>
      <x:c r="B62" s="20" t="str">
        <x:v>03A_ABS_phone_TCP_station.3mf</x:v>
      </x:c>
      <x:c r="C62" s="20" t="str">
        <x:v>cradle_m4_washer_coupon_pass</x:v>
      </x:c>
      <x:c r="D62" s="20" t="str">
        <x:f>IFERROR(INDEX('Compatibility Gates'!$C$4:$C$87,MATCH(C62,'Compatibility Gates'!$A$4:$A$87,0)),"UNKNOWN")</x:f>
        <x:v>NOT_TESTED</x:v>
      </x:c>
      <x:c r="E62" s="20" t="str">
        <x:f>IFERROR(INDEX('Compatibility Gates'!$B$4:$B$87,MATCH(C62,'Compatibility Gates'!$A$4:$A$87,0)),"UNKNOWN")</x:f>
        <x:v>coupon</x:v>
      </x:c>
      <x:c r="F62" s="20" t="str">
        <x:f>IFERROR(INDEX('Compatibility Gates'!$D$4:$D$87,MATCH(C62,'Compatibility Gates'!$A$4:$A$87,0)),"UNKNOWN")</x:f>
        <x:v>abs_rapido_cradle_0p4</x:v>
      </x:c>
    </x:row>
    <x:row r="63">
      <x:c r="A63" s="16" t="str">
        <x:v>03A</x:v>
      </x:c>
      <x:c r="B63" s="16" t="str">
        <x:v>03A_ABS_phone_TCP_station.3mf</x:v>
      </x:c>
      <x:c r="C63" s="16" t="str">
        <x:v>geometry_matches_measurements</x:v>
      </x:c>
      <x:c r="D63" s="16" t="str">
        <x:f>IFERROR(INDEX('Compatibility Gates'!$C$4:$C$87,MATCH(C63,'Compatibility Gates'!$A$4:$A$87,0)),"UNKNOWN")</x:f>
        <x:v>NOT_TESTED</x:v>
      </x:c>
      <x:c r="E63" s="16" t="str">
        <x:f>IFERROR(INDEX('Compatibility Gates'!$B$4:$B$87,MATCH(C63,'Compatibility Gates'!$A$4:$A$87,0)),"UNKNOWN")</x:f>
        <x:v>release</x:v>
      </x:c>
      <x:c r="F63" s="16" t="str">
        <x:f>IFERROR(INDEX('Compatibility Gates'!$D$4:$D$87,MATCH(C63,'Compatibility Gates'!$A$4:$A$87,0)),"UNKNOWN")</x:f>
        <x:v>generated_geometry</x:v>
      </x:c>
    </x:row>
    <x:row r="64">
      <x:c r="A64" s="20" t="str">
        <x:v>03A</x:v>
      </x:c>
      <x:c r="B64" s="20" t="str">
        <x:v>03A_ABS_phone_TCP_station.3mf</x:v>
      </x:c>
      <x:c r="C64" s="20" t="str">
        <x:v>qidi_studio_roundtrip_confirmed</x:v>
      </x:c>
      <x:c r="D64" s="20" t="str">
        <x:f>IFERROR(INDEX('Compatibility Gates'!$C$4:$C$87,MATCH(C64,'Compatibility Gates'!$A$4:$A$87,0)),"UNKNOWN")</x:f>
        <x:v>NOT_TESTED</x:v>
      </x:c>
      <x:c r="E64" s="20" t="str">
        <x:f>IFERROR(INDEX('Compatibility Gates'!$B$4:$B$87,MATCH(C64,'Compatibility Gates'!$A$4:$A$87,0)),"UNKNOWN")</x:f>
        <x:v>release</x:v>
      </x:c>
      <x:c r="F64" s="20" t="str">
        <x:f>IFERROR(INDEX('Compatibility Gates'!$D$4:$D$87,MATCH(C64,'Compatibility Gates'!$A$4:$A$87,0)),"UNKNOWN")</x:f>
        <x:v>all_active_profiles</x:v>
      </x:c>
    </x:row>
    <x:row r="65">
      <x:c r="A65" s="16" t="str">
        <x:v>03B</x:v>
      </x:c>
      <x:c r="B65" s="16" t="str">
        <x:v>03B_ABS_keyboard_clamps.3mf</x:v>
      </x:c>
      <x:c r="C65" s="16" t="str">
        <x:v>plus4_machine_confirmed</x:v>
      </x:c>
      <x:c r="D65" s="16" t="str">
        <x:f>IFERROR(INDEX('Compatibility Gates'!$C$4:$C$87,MATCH(C65,'Compatibility Gates'!$A$4:$A$87,0)),"UNKNOWN")</x:f>
        <x:v>PASS</x:v>
      </x:c>
      <x:c r="E65" s="16" t="str">
        <x:f>IFERROR(INDEX('Compatibility Gates'!$B$4:$B$87,MATCH(C65,'Compatibility Gates'!$A$4:$A$87,0)),"UNKNOWN")</x:f>
        <x:v>machine</x:v>
      </x:c>
      <x:c r="F65" s="16" t="str">
        <x:f>IFERROR(INDEX('Compatibility Gates'!$D$4:$D$87,MATCH(C65,'Compatibility Gates'!$A$4:$A$87,0)),"UNKNOWN")</x:f>
        <x:v>machine_configuration</x:v>
      </x:c>
    </x:row>
    <x:row r="66">
      <x:c r="A66" s="20" t="str">
        <x:v>03B</x:v>
      </x:c>
      <x:c r="B66" s="20" t="str">
        <x:v>03B_ABS_keyboard_clamps.3mf</x:v>
      </x:c>
      <x:c r="C66" s="20" t="str">
        <x:v>plus4_protected_envelope_verified</x:v>
      </x:c>
      <x:c r="D66" s="20" t="str">
        <x:f>IFERROR(INDEX('Compatibility Gates'!$C$4:$C$87,MATCH(C66,'Compatibility Gates'!$A$4:$A$87,0)),"UNKNOWN")</x:f>
        <x:v>PASS</x:v>
      </x:c>
      <x:c r="E66" s="20" t="str">
        <x:f>IFERROR(INDEX('Compatibility Gates'!$B$4:$B$87,MATCH(C66,'Compatibility Gates'!$A$4:$A$87,0)),"UNKNOWN")</x:f>
        <x:v>machine</x:v>
      </x:c>
      <x:c r="F66" s="20" t="str">
        <x:f>IFERROR(INDEX('Compatibility Gates'!$D$4:$D$87,MATCH(C66,'Compatibility Gates'!$A$4:$A$87,0)),"UNKNOWN")</x:f>
        <x:v>machine_configuration</x:v>
      </x:c>
    </x:row>
    <x:row r="67">
      <x:c r="A67" s="16" t="str">
        <x:v>03B</x:v>
      </x:c>
      <x:c r="B67" s="16" t="str">
        <x:v>03B_ABS_keyboard_clamps.3mf</x:v>
      </x:c>
      <x:c r="C67" s="16" t="str">
        <x:v>nozzle_0p4_confirmed</x:v>
      </x:c>
      <x:c r="D67" s="16" t="str">
        <x:f>IFERROR(INDEX('Compatibility Gates'!$C$4:$C$87,MATCH(C67,'Compatibility Gates'!$A$4:$A$87,0)),"UNKNOWN")</x:f>
        <x:v>PASS</x:v>
      </x:c>
      <x:c r="E67" s="16" t="str">
        <x:f>IFERROR(INDEX('Compatibility Gates'!$B$4:$B$87,MATCH(C67,'Compatibility Gates'!$A$4:$A$87,0)),"UNKNOWN")</x:f>
        <x:v>machine</x:v>
      </x:c>
      <x:c r="F67" s="16" t="str">
        <x:f>IFERROR(INDEX('Compatibility Gates'!$D$4:$D$87,MATCH(C67,'Compatibility Gates'!$A$4:$A$87,0)),"UNKNOWN")</x:f>
        <x:v>machine_configuration</x:v>
      </x:c>
    </x:row>
    <x:row r="68">
      <x:c r="A68" s="20" t="str">
        <x:v>03B</x:v>
      </x:c>
      <x:c r="B68" s="20" t="str">
        <x:v>03B_ABS_keyboard_clamps.3mf</x:v>
      </x:c>
      <x:c r="C68" s="20" t="str">
        <x:v>abs_rapido_general_profile_calibrated</x:v>
      </x:c>
      <x:c r="D68" s="20" t="str">
        <x:f>IFERROR(INDEX('Compatibility Gates'!$C$4:$C$87,MATCH(C68,'Compatibility Gates'!$A$4:$A$87,0)),"UNKNOWN")</x:f>
        <x:v>PASS</x:v>
      </x:c>
      <x:c r="E68" s="20" t="str">
        <x:f>IFERROR(INDEX('Compatibility Gates'!$B$4:$B$87,MATCH(C68,'Compatibility Gates'!$A$4:$A$87,0)),"UNKNOWN")</x:f>
        <x:v>material</x:v>
      </x:c>
      <x:c r="F68" s="20" t="str">
        <x:f>IFERROR(INDEX('Compatibility Gates'!$D$4:$D$87,MATCH(C68,'Compatibility Gates'!$A$4:$A$87,0)),"UNKNOWN")</x:f>
        <x:v>abs_rapido_general_0p4</x:v>
      </x:c>
    </x:row>
    <x:row r="69">
      <x:c r="A69" s="16" t="str">
        <x:v>03B</x:v>
      </x:c>
      <x:c r="B69" s="16" t="str">
        <x:v>03B_ABS_keyboard_clamps.3mf</x:v>
      </x:c>
      <x:c r="C69" s="16" t="str">
        <x:v>keyboard_dimensions_measured</x:v>
      </x:c>
      <x:c r="D69" s="16" t="str">
        <x:f>IFERROR(INDEX('Compatibility Gates'!$C$4:$C$87,MATCH(C69,'Compatibility Gates'!$A$4:$A$87,0)),"UNKNOWN")</x:f>
        <x:v>NOT_TESTED</x:v>
      </x:c>
      <x:c r="E69" s="16" t="str">
        <x:f>IFERROR(INDEX('Compatibility Gates'!$B$4:$B$87,MATCH(C69,'Compatibility Gates'!$A$4:$A$87,0)),"UNKNOWN")</x:f>
        <x:v>measurement</x:v>
      </x:c>
      <x:c r="F69" s="16" t="str">
        <x:f>IFERROR(INDEX('Compatibility Gates'!$D$4:$D$87,MATCH(C69,'Compatibility Gates'!$A$4:$A$87,0)),"UNKNOWN")</x:f>
        <x:v>geometry_input</x:v>
      </x:c>
    </x:row>
    <x:row r="70">
      <x:c r="A70" s="20" t="str">
        <x:v>03B</x:v>
      </x:c>
      <x:c r="B70" s="20" t="str">
        <x:v>03B_ABS_keyboard_clamps.3mf</x:v>
      </x:c>
      <x:c r="C70" s="20" t="str">
        <x:v>keyboard_corner_coupon_pass</x:v>
      </x:c>
      <x:c r="D70" s="20" t="str">
        <x:f>IFERROR(INDEX('Compatibility Gates'!$C$4:$C$87,MATCH(C70,'Compatibility Gates'!$A$4:$A$87,0)),"UNKNOWN")</x:f>
        <x:v>NOT_TESTED</x:v>
      </x:c>
      <x:c r="E70" s="20" t="str">
        <x:f>IFERROR(INDEX('Compatibility Gates'!$B$4:$B$87,MATCH(C70,'Compatibility Gates'!$A$4:$A$87,0)),"UNKNOWN")</x:f>
        <x:v>coupon</x:v>
      </x:c>
      <x:c r="F70" s="20" t="str">
        <x:f>IFERROR(INDEX('Compatibility Gates'!$D$4:$D$87,MATCH(C70,'Compatibility Gates'!$A$4:$A$87,0)),"UNKNOWN")</x:f>
        <x:v>abs_rapido_tray_structural_0p4</x:v>
      </x:c>
    </x:row>
    <x:row r="71">
      <x:c r="A71" s="16" t="str">
        <x:v>03B</x:v>
      </x:c>
      <x:c r="B71" s="16" t="str">
        <x:v>03B_ABS_keyboard_clamps.3mf</x:v>
      </x:c>
      <x:c r="C71" s="16" t="str">
        <x:v>general_clearance_holes_coupon_pass</x:v>
      </x:c>
      <x:c r="D71" s="16" t="str">
        <x:f>IFERROR(INDEX('Compatibility Gates'!$C$4:$C$87,MATCH(C71,'Compatibility Gates'!$A$4:$A$87,0)),"UNKNOWN")</x:f>
        <x:v>NOT_TESTED</x:v>
      </x:c>
      <x:c r="E71" s="16" t="str">
        <x:f>IFERROR(INDEX('Compatibility Gates'!$B$4:$B$87,MATCH(C71,'Compatibility Gates'!$A$4:$A$87,0)),"UNKNOWN")</x:f>
        <x:v>coupon</x:v>
      </x:c>
      <x:c r="F71" s="16" t="str">
        <x:f>IFERROR(INDEX('Compatibility Gates'!$D$4:$D$87,MATCH(C71,'Compatibility Gates'!$A$4:$A$87,0)),"UNKNOWN")</x:f>
        <x:v>abs_rapido_general_0p4</x:v>
      </x:c>
    </x:row>
    <x:row r="72">
      <x:c r="A72" s="20" t="str">
        <x:v>03B</x:v>
      </x:c>
      <x:c r="B72" s="20" t="str">
        <x:v>03B_ABS_keyboard_clamps.3mf</x:v>
      </x:c>
      <x:c r="C72" s="20" t="str">
        <x:v>setup_hardware_coupon_pass</x:v>
      </x:c>
      <x:c r="D72" s="20" t="str">
        <x:f>IFERROR(INDEX('Compatibility Gates'!$C$4:$C$87,MATCH(C72,'Compatibility Gates'!$A$4:$A$87,0)),"UNKNOWN")</x:f>
        <x:v>NOT_TESTED</x:v>
      </x:c>
      <x:c r="E72" s="20" t="str">
        <x:f>IFERROR(INDEX('Compatibility Gates'!$B$4:$B$87,MATCH(C72,'Compatibility Gates'!$A$4:$A$87,0)),"UNKNOWN")</x:f>
        <x:v>coupon</x:v>
      </x:c>
      <x:c r="F72" s="20" t="str">
        <x:f>IFERROR(INDEX('Compatibility Gates'!$D$4:$D$87,MATCH(C72,'Compatibility Gates'!$A$4:$A$87,0)),"UNKNOWN")</x:f>
        <x:v>abs_rapido_general_0p4</x:v>
      </x:c>
    </x:row>
    <x:row r="73">
      <x:c r="A73" s="16" t="str">
        <x:v>03B</x:v>
      </x:c>
      <x:c r="B73" s="16" t="str">
        <x:v>03B_ABS_keyboard_clamps.3mf</x:v>
      </x:c>
      <x:c r="C73" s="16" t="str">
        <x:v>geometry_matches_measurements</x:v>
      </x:c>
      <x:c r="D73" s="16" t="str">
        <x:f>IFERROR(INDEX('Compatibility Gates'!$C$4:$C$87,MATCH(C73,'Compatibility Gates'!$A$4:$A$87,0)),"UNKNOWN")</x:f>
        <x:v>NOT_TESTED</x:v>
      </x:c>
      <x:c r="E73" s="16" t="str">
        <x:f>IFERROR(INDEX('Compatibility Gates'!$B$4:$B$87,MATCH(C73,'Compatibility Gates'!$A$4:$A$87,0)),"UNKNOWN")</x:f>
        <x:v>release</x:v>
      </x:c>
      <x:c r="F73" s="16" t="str">
        <x:f>IFERROR(INDEX('Compatibility Gates'!$D$4:$D$87,MATCH(C73,'Compatibility Gates'!$A$4:$A$87,0)),"UNKNOWN")</x:f>
        <x:v>generated_geometry</x:v>
      </x:c>
    </x:row>
    <x:row r="74">
      <x:c r="A74" s="20" t="str">
        <x:v>03B</x:v>
      </x:c>
      <x:c r="B74" s="20" t="str">
        <x:v>03B_ABS_keyboard_clamps.3mf</x:v>
      </x:c>
      <x:c r="C74" s="20" t="str">
        <x:v>qidi_studio_roundtrip_confirmed</x:v>
      </x:c>
      <x:c r="D74" s="20" t="str">
        <x:f>IFERROR(INDEX('Compatibility Gates'!$C$4:$C$87,MATCH(C74,'Compatibility Gates'!$A$4:$A$87,0)),"UNKNOWN")</x:f>
        <x:v>NOT_TESTED</x:v>
      </x:c>
      <x:c r="E74" s="20" t="str">
        <x:f>IFERROR(INDEX('Compatibility Gates'!$B$4:$B$87,MATCH(C74,'Compatibility Gates'!$A$4:$A$87,0)),"UNKNOWN")</x:f>
        <x:v>release</x:v>
      </x:c>
      <x:c r="F74" s="20" t="str">
        <x:f>IFERROR(INDEX('Compatibility Gates'!$D$4:$D$87,MATCH(C74,'Compatibility Gates'!$A$4:$A$87,0)),"UNKNOWN")</x:f>
        <x:v>all_active_profiles</x:v>
      </x:c>
    </x:row>
    <x:row r="75">
      <x:c r="A75" s="16" t="str">
        <x:v>03C1</x:v>
      </x:c>
      <x:c r="B75" s="16" t="str">
        <x:v>03C1_ABS_phone_clamp_rail.3mf</x:v>
      </x:c>
      <x:c r="C75" s="16" t="str">
        <x:v>plus4_machine_confirmed</x:v>
      </x:c>
      <x:c r="D75" s="16" t="str">
        <x:f>IFERROR(INDEX('Compatibility Gates'!$C$4:$C$87,MATCH(C75,'Compatibility Gates'!$A$4:$A$87,0)),"UNKNOWN")</x:f>
        <x:v>PASS</x:v>
      </x:c>
      <x:c r="E75" s="16" t="str">
        <x:f>IFERROR(INDEX('Compatibility Gates'!$B$4:$B$87,MATCH(C75,'Compatibility Gates'!$A$4:$A$87,0)),"UNKNOWN")</x:f>
        <x:v>machine</x:v>
      </x:c>
      <x:c r="F75" s="16" t="str">
        <x:f>IFERROR(INDEX('Compatibility Gates'!$D$4:$D$87,MATCH(C75,'Compatibility Gates'!$A$4:$A$87,0)),"UNKNOWN")</x:f>
        <x:v>machine_configuration</x:v>
      </x:c>
    </x:row>
    <x:row r="76">
      <x:c r="A76" s="20" t="str">
        <x:v>03C1</x:v>
      </x:c>
      <x:c r="B76" s="20" t="str">
        <x:v>03C1_ABS_phone_clamp_rail.3mf</x:v>
      </x:c>
      <x:c r="C76" s="20" t="str">
        <x:v>plus4_protected_envelope_verified</x:v>
      </x:c>
      <x:c r="D76" s="20" t="str">
        <x:f>IFERROR(INDEX('Compatibility Gates'!$C$4:$C$87,MATCH(C76,'Compatibility Gates'!$A$4:$A$87,0)),"UNKNOWN")</x:f>
        <x:v>PASS</x:v>
      </x:c>
      <x:c r="E76" s="20" t="str">
        <x:f>IFERROR(INDEX('Compatibility Gates'!$B$4:$B$87,MATCH(C76,'Compatibility Gates'!$A$4:$A$87,0)),"UNKNOWN")</x:f>
        <x:v>machine</x:v>
      </x:c>
      <x:c r="F76" s="20" t="str">
        <x:f>IFERROR(INDEX('Compatibility Gates'!$D$4:$D$87,MATCH(C76,'Compatibility Gates'!$A$4:$A$87,0)),"UNKNOWN")</x:f>
        <x:v>machine_configuration</x:v>
      </x:c>
    </x:row>
    <x:row r="77">
      <x:c r="A77" s="16" t="str">
        <x:v>03C1</x:v>
      </x:c>
      <x:c r="B77" s="16" t="str">
        <x:v>03C1_ABS_phone_clamp_rail.3mf</x:v>
      </x:c>
      <x:c r="C77" s="16" t="str">
        <x:v>nozzle_0p4_confirmed</x:v>
      </x:c>
      <x:c r="D77" s="16" t="str">
        <x:f>IFERROR(INDEX('Compatibility Gates'!$C$4:$C$87,MATCH(C77,'Compatibility Gates'!$A$4:$A$87,0)),"UNKNOWN")</x:f>
        <x:v>PASS</x:v>
      </x:c>
      <x:c r="E77" s="16" t="str">
        <x:f>IFERROR(INDEX('Compatibility Gates'!$B$4:$B$87,MATCH(C77,'Compatibility Gates'!$A$4:$A$87,0)),"UNKNOWN")</x:f>
        <x:v>machine</x:v>
      </x:c>
      <x:c r="F77" s="16" t="str">
        <x:f>IFERROR(INDEX('Compatibility Gates'!$D$4:$D$87,MATCH(C77,'Compatibility Gates'!$A$4:$A$87,0)),"UNKNOWN")</x:f>
        <x:v>machine_configuration</x:v>
      </x:c>
    </x:row>
    <x:row r="78">
      <x:c r="A78" s="20" t="str">
        <x:v>03C1</x:v>
      </x:c>
      <x:c r="B78" s="20" t="str">
        <x:v>03C1_ABS_phone_clamp_rail.3mf</x:v>
      </x:c>
      <x:c r="C78" s="20" t="str">
        <x:v>abs_rapido_cradle_profile_calibrated</x:v>
      </x:c>
      <x:c r="D78" s="20" t="str">
        <x:f>IFERROR(INDEX('Compatibility Gates'!$C$4:$C$87,MATCH(C78,'Compatibility Gates'!$A$4:$A$87,0)),"UNKNOWN")</x:f>
        <x:v>PASS</x:v>
      </x:c>
      <x:c r="E78" s="20" t="str">
        <x:f>IFERROR(INDEX('Compatibility Gates'!$B$4:$B$87,MATCH(C78,'Compatibility Gates'!$A$4:$A$87,0)),"UNKNOWN")</x:f>
        <x:v>material</x:v>
      </x:c>
      <x:c r="F78" s="20" t="str">
        <x:f>IFERROR(INDEX('Compatibility Gates'!$D$4:$D$87,MATCH(C78,'Compatibility Gates'!$A$4:$A$87,0)),"UNKNOWN")</x:f>
        <x:v>abs_rapido_cradle_0p4</x:v>
      </x:c>
    </x:row>
    <x:row r="79">
      <x:c r="A79" s="16" t="str">
        <x:v>03C1</x:v>
      </x:c>
      <x:c r="B79" s="16" t="str">
        <x:v>03C1_ABS_phone_clamp_rail.3mf</x:v>
      </x:c>
      <x:c r="C79" s="16" t="str">
        <x:v>phone_dimensions_measured</x:v>
      </x:c>
      <x:c r="D79" s="16" t="str">
        <x:f>IFERROR(INDEX('Compatibility Gates'!$C$4:$C$87,MATCH(C79,'Compatibility Gates'!$A$4:$A$87,0)),"UNKNOWN")</x:f>
        <x:v>NOT_TESTED</x:v>
      </x:c>
      <x:c r="E79" s="16" t="str">
        <x:f>IFERROR(INDEX('Compatibility Gates'!$B$4:$B$87,MATCH(C79,'Compatibility Gates'!$A$4:$A$87,0)),"UNKNOWN")</x:f>
        <x:v>measurement</x:v>
      </x:c>
      <x:c r="F79" s="16" t="str">
        <x:f>IFERROR(INDEX('Compatibility Gates'!$D$4:$D$87,MATCH(C79,'Compatibility Gates'!$A$4:$A$87,0)),"UNKNOWN")</x:f>
        <x:v>geometry_input</x:v>
      </x:c>
    </x:row>
    <x:row r="80">
      <x:c r="A80" s="20" t="str">
        <x:v>03C1</x:v>
      </x:c>
      <x:c r="B80" s="20" t="str">
        <x:v>03C1_ABS_phone_clamp_rail.3mf</x:v>
      </x:c>
      <x:c r="C80" s="20" t="str">
        <x:v>phone_side_features_measured</x:v>
      </x:c>
      <x:c r="D80" s="20" t="str">
        <x:f>IFERROR(INDEX('Compatibility Gates'!$C$4:$C$87,MATCH(C80,'Compatibility Gates'!$A$4:$A$87,0)),"UNKNOWN")</x:f>
        <x:v>NOT_TESTED</x:v>
      </x:c>
      <x:c r="E80" s="20" t="str">
        <x:f>IFERROR(INDEX('Compatibility Gates'!$B$4:$B$87,MATCH(C80,'Compatibility Gates'!$A$4:$A$87,0)),"UNKNOWN")</x:f>
        <x:v>measurement</x:v>
      </x:c>
      <x:c r="F80" s="20" t="str">
        <x:f>IFERROR(INDEX('Compatibility Gates'!$D$4:$D$87,MATCH(C80,'Compatibility Gates'!$A$4:$A$87,0)),"UNKNOWN")</x:f>
        <x:v>geometry_input</x:v>
      </x:c>
    </x:row>
    <x:row r="81">
      <x:c r="A81" s="16" t="str">
        <x:v>03C1</x:v>
      </x:c>
      <x:c r="B81" s="16" t="str">
        <x:v>03C1_ABS_phone_clamp_rail.3mf</x:v>
      </x:c>
      <x:c r="C81" s="16" t="str">
        <x:v>phone_width_coupon_pass</x:v>
      </x:c>
      <x:c r="D81" s="16" t="str">
        <x:f>IFERROR(INDEX('Compatibility Gates'!$C$4:$C$87,MATCH(C81,'Compatibility Gates'!$A$4:$A$87,0)),"UNKNOWN")</x:f>
        <x:v>NOT_TESTED</x:v>
      </x:c>
      <x:c r="E81" s="16" t="str">
        <x:f>IFERROR(INDEX('Compatibility Gates'!$B$4:$B$87,MATCH(C81,'Compatibility Gates'!$A$4:$A$87,0)),"UNKNOWN")</x:f>
        <x:v>coupon</x:v>
      </x:c>
      <x:c r="F81" s="16" t="str">
        <x:f>IFERROR(INDEX('Compatibility Gates'!$D$4:$D$87,MATCH(C81,'Compatibility Gates'!$A$4:$A$87,0)),"UNKNOWN")</x:f>
        <x:v>abs_rapido_cradle_0p4</x:v>
      </x:c>
    </x:row>
    <x:row r="82">
      <x:c r="A82" s="20" t="str">
        <x:v>03C1</x:v>
      </x:c>
      <x:c r="B82" s="20" t="str">
        <x:v>03C1_ABS_phone_clamp_rail.3mf</x:v>
      </x:c>
      <x:c r="C82" s="20" t="str">
        <x:v>phone_m4_captive_nut_coupon_pass</x:v>
      </x:c>
      <x:c r="D82" s="20" t="str">
        <x:f>IFERROR(INDEX('Compatibility Gates'!$C$4:$C$87,MATCH(C82,'Compatibility Gates'!$A$4:$A$87,0)),"UNKNOWN")</x:f>
        <x:v>NOT_TESTED</x:v>
      </x:c>
      <x:c r="E82" s="20" t="str">
        <x:f>IFERROR(INDEX('Compatibility Gates'!$B$4:$B$87,MATCH(C82,'Compatibility Gates'!$A$4:$A$87,0)),"UNKNOWN")</x:f>
        <x:v>coupon</x:v>
      </x:c>
      <x:c r="F82" s="20" t="str">
        <x:f>IFERROR(INDEX('Compatibility Gates'!$D$4:$D$87,MATCH(C82,'Compatibility Gates'!$A$4:$A$87,0)),"UNKNOWN")</x:f>
        <x:v>abs_rapido_cradle_0p4</x:v>
      </x:c>
    </x:row>
    <x:row r="83">
      <x:c r="A83" s="16" t="str">
        <x:v>03C1</x:v>
      </x:c>
      <x:c r="B83" s="16" t="str">
        <x:v>03C1_ABS_phone_clamp_rail.3mf</x:v>
      </x:c>
      <x:c r="C83" s="16" t="str">
        <x:v>cradle_m4_washer_coupon_pass</x:v>
      </x:c>
      <x:c r="D83" s="16" t="str">
        <x:f>IFERROR(INDEX('Compatibility Gates'!$C$4:$C$87,MATCH(C83,'Compatibility Gates'!$A$4:$A$87,0)),"UNKNOWN")</x:f>
        <x:v>NOT_TESTED</x:v>
      </x:c>
      <x:c r="E83" s="16" t="str">
        <x:f>IFERROR(INDEX('Compatibility Gates'!$B$4:$B$87,MATCH(C83,'Compatibility Gates'!$A$4:$A$87,0)),"UNKNOWN")</x:f>
        <x:v>coupon</x:v>
      </x:c>
      <x:c r="F83" s="16" t="str">
        <x:f>IFERROR(INDEX('Compatibility Gates'!$D$4:$D$87,MATCH(C83,'Compatibility Gates'!$A$4:$A$87,0)),"UNKNOWN")</x:f>
        <x:v>abs_rapido_cradle_0p4</x:v>
      </x:c>
    </x:row>
    <x:row r="84">
      <x:c r="A84" s="20" t="str">
        <x:v>03C1</x:v>
      </x:c>
      <x:c r="B84" s="20" t="str">
        <x:v>03C1_ABS_phone_clamp_rail.3mf</x:v>
      </x:c>
      <x:c r="C84" s="20" t="str">
        <x:v>geometry_matches_measurements</x:v>
      </x:c>
      <x:c r="D84" s="20" t="str">
        <x:f>IFERROR(INDEX('Compatibility Gates'!$C$4:$C$87,MATCH(C84,'Compatibility Gates'!$A$4:$A$87,0)),"UNKNOWN")</x:f>
        <x:v>NOT_TESTED</x:v>
      </x:c>
      <x:c r="E84" s="20" t="str">
        <x:f>IFERROR(INDEX('Compatibility Gates'!$B$4:$B$87,MATCH(C84,'Compatibility Gates'!$A$4:$A$87,0)),"UNKNOWN")</x:f>
        <x:v>release</x:v>
      </x:c>
      <x:c r="F84" s="20" t="str">
        <x:f>IFERROR(INDEX('Compatibility Gates'!$D$4:$D$87,MATCH(C84,'Compatibility Gates'!$A$4:$A$87,0)),"UNKNOWN")</x:f>
        <x:v>generated_geometry</x:v>
      </x:c>
    </x:row>
    <x:row r="85">
      <x:c r="A85" s="16" t="str">
        <x:v>03C1</x:v>
      </x:c>
      <x:c r="B85" s="16" t="str">
        <x:v>03C1_ABS_phone_clamp_rail.3mf</x:v>
      </x:c>
      <x:c r="C85" s="16" t="str">
        <x:v>qidi_studio_roundtrip_confirmed</x:v>
      </x:c>
      <x:c r="D85" s="16" t="str">
        <x:f>IFERROR(INDEX('Compatibility Gates'!$C$4:$C$87,MATCH(C85,'Compatibility Gates'!$A$4:$A$87,0)),"UNKNOWN")</x:f>
        <x:v>NOT_TESTED</x:v>
      </x:c>
      <x:c r="E85" s="16" t="str">
        <x:f>IFERROR(INDEX('Compatibility Gates'!$B$4:$B$87,MATCH(C85,'Compatibility Gates'!$A$4:$A$87,0)),"UNKNOWN")</x:f>
        <x:v>release</x:v>
      </x:c>
      <x:c r="F85" s="16" t="str">
        <x:f>IFERROR(INDEX('Compatibility Gates'!$D$4:$D$87,MATCH(C85,'Compatibility Gates'!$A$4:$A$87,0)),"UNKNOWN")</x:f>
        <x:v>all_active_profiles</x:v>
      </x:c>
    </x:row>
    <x:row r="86">
      <x:c r="A86" s="20" t="str">
        <x:v>03C2</x:v>
      </x:c>
      <x:c r="B86" s="20" t="str">
        <x:v>03C2_ABS_board_setup_tools.3mf</x:v>
      </x:c>
      <x:c r="C86" s="20" t="str">
        <x:v>plus4_machine_confirmed</x:v>
      </x:c>
      <x:c r="D86" s="20" t="str">
        <x:f>IFERROR(INDEX('Compatibility Gates'!$C$4:$C$87,MATCH(C86,'Compatibility Gates'!$A$4:$A$87,0)),"UNKNOWN")</x:f>
        <x:v>PASS</x:v>
      </x:c>
      <x:c r="E86" s="20" t="str">
        <x:f>IFERROR(INDEX('Compatibility Gates'!$B$4:$B$87,MATCH(C86,'Compatibility Gates'!$A$4:$A$87,0)),"UNKNOWN")</x:f>
        <x:v>machine</x:v>
      </x:c>
      <x:c r="F86" s="20" t="str">
        <x:f>IFERROR(INDEX('Compatibility Gates'!$D$4:$D$87,MATCH(C86,'Compatibility Gates'!$A$4:$A$87,0)),"UNKNOWN")</x:f>
        <x:v>machine_configuration</x:v>
      </x:c>
    </x:row>
    <x:row r="87">
      <x:c r="A87" s="16" t="str">
        <x:v>03C2</x:v>
      </x:c>
      <x:c r="B87" s="16" t="str">
        <x:v>03C2_ABS_board_setup_tools.3mf</x:v>
      </x:c>
      <x:c r="C87" s="16" t="str">
        <x:v>plus4_protected_envelope_verified</x:v>
      </x:c>
      <x:c r="D87" s="16" t="str">
        <x:f>IFERROR(INDEX('Compatibility Gates'!$C$4:$C$87,MATCH(C87,'Compatibility Gates'!$A$4:$A$87,0)),"UNKNOWN")</x:f>
        <x:v>PASS</x:v>
      </x:c>
      <x:c r="E87" s="16" t="str">
        <x:f>IFERROR(INDEX('Compatibility Gates'!$B$4:$B$87,MATCH(C87,'Compatibility Gates'!$A$4:$A$87,0)),"UNKNOWN")</x:f>
        <x:v>machine</x:v>
      </x:c>
      <x:c r="F87" s="16" t="str">
        <x:f>IFERROR(INDEX('Compatibility Gates'!$D$4:$D$87,MATCH(C87,'Compatibility Gates'!$A$4:$A$87,0)),"UNKNOWN")</x:f>
        <x:v>machine_configuration</x:v>
      </x:c>
    </x:row>
    <x:row r="88">
      <x:c r="A88" s="20" t="str">
        <x:v>03C2</x:v>
      </x:c>
      <x:c r="B88" s="20" t="str">
        <x:v>03C2_ABS_board_setup_tools.3mf</x:v>
      </x:c>
      <x:c r="C88" s="20" t="str">
        <x:v>nozzle_0p4_confirmed</x:v>
      </x:c>
      <x:c r="D88" s="20" t="str">
        <x:f>IFERROR(INDEX('Compatibility Gates'!$C$4:$C$87,MATCH(C88,'Compatibility Gates'!$A$4:$A$87,0)),"UNKNOWN")</x:f>
        <x:v>PASS</x:v>
      </x:c>
      <x:c r="E88" s="20" t="str">
        <x:f>IFERROR(INDEX('Compatibility Gates'!$B$4:$B$87,MATCH(C88,'Compatibility Gates'!$A$4:$A$87,0)),"UNKNOWN")</x:f>
        <x:v>machine</x:v>
      </x:c>
      <x:c r="F88" s="20" t="str">
        <x:f>IFERROR(INDEX('Compatibility Gates'!$D$4:$D$87,MATCH(C88,'Compatibility Gates'!$A$4:$A$87,0)),"UNKNOWN")</x:f>
        <x:v>machine_configuration</x:v>
      </x:c>
    </x:row>
    <x:row r="89">
      <x:c r="A89" s="16" t="str">
        <x:v>03C2</x:v>
      </x:c>
      <x:c r="B89" s="16" t="str">
        <x:v>03C2_ABS_board_setup_tools.3mf</x:v>
      </x:c>
      <x:c r="C89" s="16" t="str">
        <x:v>abs_rapido_general_profile_calibrated</x:v>
      </x:c>
      <x:c r="D89" s="16" t="str">
        <x:f>IFERROR(INDEX('Compatibility Gates'!$C$4:$C$87,MATCH(C89,'Compatibility Gates'!$A$4:$A$87,0)),"UNKNOWN")</x:f>
        <x:v>PASS</x:v>
      </x:c>
      <x:c r="E89" s="16" t="str">
        <x:f>IFERROR(INDEX('Compatibility Gates'!$B$4:$B$87,MATCH(C89,'Compatibility Gates'!$A$4:$A$87,0)),"UNKNOWN")</x:f>
        <x:v>material</x:v>
      </x:c>
      <x:c r="F89" s="16" t="str">
        <x:f>IFERROR(INDEX('Compatibility Gates'!$D$4:$D$87,MATCH(C89,'Compatibility Gates'!$A$4:$A$87,0)),"UNKNOWN")</x:f>
        <x:v>abs_rapido_general_0p4</x:v>
      </x:c>
    </x:row>
    <x:row r="90">
      <x:c r="A90" s="20" t="str">
        <x:v>03C2</x:v>
      </x:c>
      <x:c r="B90" s="20" t="str">
        <x:v>03C2_ABS_board_setup_tools.3mf</x:v>
      </x:c>
      <x:c r="C90" s="20" t="str">
        <x:v>tag_stock_measured</x:v>
      </x:c>
      <x:c r="D90" s="20" t="str">
        <x:f>IFERROR(INDEX('Compatibility Gates'!$C$4:$C$87,MATCH(C90,'Compatibility Gates'!$A$4:$A$87,0)),"UNKNOWN")</x:f>
        <x:v>NOT_TESTED</x:v>
      </x:c>
      <x:c r="E90" s="20" t="str">
        <x:f>IFERROR(INDEX('Compatibility Gates'!$B$4:$B$87,MATCH(C90,'Compatibility Gates'!$A$4:$A$87,0)),"UNKNOWN")</x:f>
        <x:v>measurement</x:v>
      </x:c>
      <x:c r="F90" s="20" t="str">
        <x:f>IFERROR(INDEX('Compatibility Gates'!$D$4:$D$87,MATCH(C90,'Compatibility Gates'!$A$4:$A$87,0)),"UNKNOWN")</x:f>
        <x:v>geometry_input</x:v>
      </x:c>
    </x:row>
    <x:row r="91">
      <x:c r="A91" s="16" t="str">
        <x:v>03C2</x:v>
      </x:c>
      <x:c r="B91" s="16" t="str">
        <x:v>03C2_ABS_board_setup_tools.3mf</x:v>
      </x:c>
      <x:c r="C91" s="16" t="str">
        <x:v>tag_artwork_scale_pass</x:v>
      </x:c>
      <x:c r="D91" s="16" t="str">
        <x:f>IFERROR(INDEX('Compatibility Gates'!$C$4:$C$87,MATCH(C91,'Compatibility Gates'!$A$4:$A$87,0)),"UNKNOWN")</x:f>
        <x:v>NOT_TESTED</x:v>
      </x:c>
      <x:c r="E91" s="16" t="str">
        <x:f>IFERROR(INDEX('Compatibility Gates'!$B$4:$B$87,MATCH(C91,'Compatibility Gates'!$A$4:$A$87,0)),"UNKNOWN")</x:f>
        <x:v>first_article</x:v>
      </x:c>
      <x:c r="F91" s="16" t="str">
        <x:f>IFERROR(INDEX('Compatibility Gates'!$D$4:$D$87,MATCH(C91,'Compatibility Gates'!$A$4:$A$87,0)),"UNKNOWN")</x:f>
        <x:v>artwork_100_percent</x:v>
      </x:c>
    </x:row>
    <x:row r="92">
      <x:c r="A92" s="20" t="str">
        <x:v>03C2</x:v>
      </x:c>
      <x:c r="B92" s="20" t="str">
        <x:v>03C2_ABS_board_setup_tools.3mf</x:v>
      </x:c>
      <x:c r="C92" s="20" t="str">
        <x:v>board_setup_template_scale_pass</x:v>
      </x:c>
      <x:c r="D92" s="20" t="str">
        <x:f>IFERROR(INDEX('Compatibility Gates'!$C$4:$C$87,MATCH(C92,'Compatibility Gates'!$A$4:$A$87,0)),"UNKNOWN")</x:f>
        <x:v>NOT_TESTED</x:v>
      </x:c>
      <x:c r="E92" s="20" t="str">
        <x:f>IFERROR(INDEX('Compatibility Gates'!$B$4:$B$87,MATCH(C92,'Compatibility Gates'!$A$4:$A$87,0)),"UNKNOWN")</x:f>
        <x:v>first_article</x:v>
      </x:c>
      <x:c r="F92" s="20" t="str">
        <x:f>IFERROR(INDEX('Compatibility Gates'!$D$4:$D$87,MATCH(C92,'Compatibility Gates'!$A$4:$A$87,0)),"UNKNOWN")</x:f>
        <x:v>board_setup_template_actual_size</x:v>
      </x:c>
    </x:row>
    <x:row r="93">
      <x:c r="A93" s="16" t="str">
        <x:v>03C2</x:v>
      </x:c>
      <x:c r="B93" s="16" t="str">
        <x:v>03C2_ABS_board_setup_tools.3mf</x:v>
      </x:c>
      <x:c r="C93" s="16" t="str">
        <x:v>geometry_matches_measurements</x:v>
      </x:c>
      <x:c r="D93" s="16" t="str">
        <x:f>IFERROR(INDEX('Compatibility Gates'!$C$4:$C$87,MATCH(C93,'Compatibility Gates'!$A$4:$A$87,0)),"UNKNOWN")</x:f>
        <x:v>NOT_TESTED</x:v>
      </x:c>
      <x:c r="E93" s="16" t="str">
        <x:f>IFERROR(INDEX('Compatibility Gates'!$B$4:$B$87,MATCH(C93,'Compatibility Gates'!$A$4:$A$87,0)),"UNKNOWN")</x:f>
        <x:v>release</x:v>
      </x:c>
      <x:c r="F93" s="16" t="str">
        <x:f>IFERROR(INDEX('Compatibility Gates'!$D$4:$D$87,MATCH(C93,'Compatibility Gates'!$A$4:$A$87,0)),"UNKNOWN")</x:f>
        <x:v>generated_geometry</x:v>
      </x:c>
    </x:row>
    <x:row r="94">
      <x:c r="A94" s="20" t="str">
        <x:v>03C2</x:v>
      </x:c>
      <x:c r="B94" s="20" t="str">
        <x:v>03C2_ABS_board_setup_tools.3mf</x:v>
      </x:c>
      <x:c r="C94" s="20" t="str">
        <x:v>qidi_studio_roundtrip_confirmed</x:v>
      </x:c>
      <x:c r="D94" s="20" t="str">
        <x:f>IFERROR(INDEX('Compatibility Gates'!$C$4:$C$87,MATCH(C94,'Compatibility Gates'!$A$4:$A$87,0)),"UNKNOWN")</x:f>
        <x:v>NOT_TESTED</x:v>
      </x:c>
      <x:c r="E94" s="20" t="str">
        <x:f>IFERROR(INDEX('Compatibility Gates'!$B$4:$B$87,MATCH(C94,'Compatibility Gates'!$A$4:$A$87,0)),"UNKNOWN")</x:f>
        <x:v>release</x:v>
      </x:c>
      <x:c r="F94" s="20" t="str">
        <x:f>IFERROR(INDEX('Compatibility Gates'!$D$4:$D$87,MATCH(C94,'Compatibility Gates'!$A$4:$A$87,0)),"UNKNOWN")</x:f>
        <x:v>all_active_profiles</x:v>
      </x:c>
    </x:row>
    <x:row r="95">
      <x:c r="A95" s="16" t="str">
        <x:v>03C3</x:v>
      </x:c>
      <x:c r="B95" s="16" t="str">
        <x:v>03C3_PETG_camera_plate.3mf</x:v>
      </x:c>
      <x:c r="C95" s="16" t="str">
        <x:v>fixed_camera_fallback_architecture_released</x:v>
      </x:c>
      <x:c r="D95" s="16" t="str">
        <x:f>IFERROR(INDEX('Compatibility Gates'!$C$4:$C$87,MATCH(C95,'Compatibility Gates'!$A$4:$A$87,0)),"UNKNOWN")</x:f>
        <x:v>NOT_TESTED</x:v>
      </x:c>
      <x:c r="E95" s="16" t="str">
        <x:f>IFERROR(INDEX('Compatibility Gates'!$B$4:$B$87,MATCH(C95,'Compatibility Gates'!$A$4:$A$87,0)),"UNKNOWN")</x:f>
        <x:v>engineering_release</x:v>
      </x:c>
      <x:c r="F95" s="16" t="str">
        <x:f>IFERROR(INDEX('Compatibility Gates'!$D$4:$D$87,MATCH(C95,'Compatibility Gates'!$A$4:$A$87,0)),"UNKNOWN")</x:f>
        <x:v>camera_architecture_control</x:v>
      </x:c>
    </x:row>
    <x:row r="96">
      <x:c r="A96" s="20" t="str">
        <x:v>03C3</x:v>
      </x:c>
      <x:c r="B96" s="20" t="str">
        <x:v>03C3_PETG_camera_plate.3mf</x:v>
      </x:c>
      <x:c r="C96" s="20" t="str">
        <x:v>plus4_machine_confirmed</x:v>
      </x:c>
      <x:c r="D96" s="20" t="str">
        <x:f>IFERROR(INDEX('Compatibility Gates'!$C$4:$C$87,MATCH(C96,'Compatibility Gates'!$A$4:$A$87,0)),"UNKNOWN")</x:f>
        <x:v>PASS</x:v>
      </x:c>
      <x:c r="E96" s="20" t="str">
        <x:f>IFERROR(INDEX('Compatibility Gates'!$B$4:$B$87,MATCH(C96,'Compatibility Gates'!$A$4:$A$87,0)),"UNKNOWN")</x:f>
        <x:v>machine</x:v>
      </x:c>
      <x:c r="F96" s="20" t="str">
        <x:f>IFERROR(INDEX('Compatibility Gates'!$D$4:$D$87,MATCH(C96,'Compatibility Gates'!$A$4:$A$87,0)),"UNKNOWN")</x:f>
        <x:v>machine_configuration</x:v>
      </x:c>
    </x:row>
    <x:row r="97">
      <x:c r="A97" s="16" t="str">
        <x:v>03C3</x:v>
      </x:c>
      <x:c r="B97" s="16" t="str">
        <x:v>03C3_PETG_camera_plate.3mf</x:v>
      </x:c>
      <x:c r="C97" s="16" t="str">
        <x:v>plus4_protected_envelope_verified</x:v>
      </x:c>
      <x:c r="D97" s="16" t="str">
        <x:f>IFERROR(INDEX('Compatibility Gates'!$C$4:$C$87,MATCH(C97,'Compatibility Gates'!$A$4:$A$87,0)),"UNKNOWN")</x:f>
        <x:v>PASS</x:v>
      </x:c>
      <x:c r="E97" s="16" t="str">
        <x:f>IFERROR(INDEX('Compatibility Gates'!$B$4:$B$87,MATCH(C97,'Compatibility Gates'!$A$4:$A$87,0)),"UNKNOWN")</x:f>
        <x:v>machine</x:v>
      </x:c>
      <x:c r="F97" s="16" t="str">
        <x:f>IFERROR(INDEX('Compatibility Gates'!$D$4:$D$87,MATCH(C97,'Compatibility Gates'!$A$4:$A$87,0)),"UNKNOWN")</x:f>
        <x:v>machine_configuration</x:v>
      </x:c>
    </x:row>
    <x:row r="98">
      <x:c r="A98" s="20" t="str">
        <x:v>03C3</x:v>
      </x:c>
      <x:c r="B98" s="20" t="str">
        <x:v>03C3_PETG_camera_plate.3mf</x:v>
      </x:c>
      <x:c r="C98" s="20" t="str">
        <x:v>nozzle_0p4_confirmed</x:v>
      </x:c>
      <x:c r="D98" s="20" t="str">
        <x:f>IFERROR(INDEX('Compatibility Gates'!$C$4:$C$87,MATCH(C98,'Compatibility Gates'!$A$4:$A$87,0)),"UNKNOWN")</x:f>
        <x:v>PASS</x:v>
      </x:c>
      <x:c r="E98" s="20" t="str">
        <x:f>IFERROR(INDEX('Compatibility Gates'!$B$4:$B$87,MATCH(C98,'Compatibility Gates'!$A$4:$A$87,0)),"UNKNOWN")</x:f>
        <x:v>machine</x:v>
      </x:c>
      <x:c r="F98" s="20" t="str">
        <x:f>IFERROR(INDEX('Compatibility Gates'!$D$4:$D$87,MATCH(C98,'Compatibility Gates'!$A$4:$A$87,0)),"UNKNOWN")</x:f>
        <x:v>machine_configuration</x:v>
      </x:c>
    </x:row>
    <x:row r="99">
      <x:c r="A99" s="16" t="str">
        <x:v>03C3</x:v>
      </x:c>
      <x:c r="B99" s="16" t="str">
        <x:v>03C3_PETG_camera_plate.3mf</x:v>
      </x:c>
      <x:c r="C99" s="16" t="str">
        <x:v>petg_general_profile_calibrated</x:v>
      </x:c>
      <x:c r="D99" s="16" t="str">
        <x:f>IFERROR(INDEX('Compatibility Gates'!$C$4:$C$87,MATCH(C99,'Compatibility Gates'!$A$4:$A$87,0)),"UNKNOWN")</x:f>
        <x:v>NOT_TESTED</x:v>
      </x:c>
      <x:c r="E99" s="16" t="str">
        <x:f>IFERROR(INDEX('Compatibility Gates'!$B$4:$B$87,MATCH(C99,'Compatibility Gates'!$A$4:$A$87,0)),"UNKNOWN")</x:f>
        <x:v>material</x:v>
      </x:c>
      <x:c r="F99" s="16" t="str">
        <x:f>IFERROR(INDEX('Compatibility Gates'!$D$4:$D$87,MATCH(C99,'Compatibility Gates'!$A$4:$A$87,0)),"UNKNOWN")</x:f>
        <x:v>petg_general_0p4</x:v>
      </x:c>
    </x:row>
    <x:row r="100">
      <x:c r="A100" s="20" t="str">
        <x:v>03C3</x:v>
      </x:c>
      <x:c r="B100" s="20" t="str">
        <x:v>03C3_PETG_camera_plate.3mf</x:v>
      </x:c>
      <x:c r="C100" s="20" t="str">
        <x:v>camera_mount_interface_measured</x:v>
      </x:c>
      <x:c r="D100" s="20" t="str">
        <x:f>IFERROR(INDEX('Compatibility Gates'!$C$4:$C$87,MATCH(C100,'Compatibility Gates'!$A$4:$A$87,0)),"UNKNOWN")</x:f>
        <x:v>NOT_TESTED</x:v>
      </x:c>
      <x:c r="E100" s="20" t="str">
        <x:f>IFERROR(INDEX('Compatibility Gates'!$B$4:$B$87,MATCH(C100,'Compatibility Gates'!$A$4:$A$87,0)),"UNKNOWN")</x:f>
        <x:v>measurement</x:v>
      </x:c>
      <x:c r="F100" s="20" t="str">
        <x:f>IFERROR(INDEX('Compatibility Gates'!$D$4:$D$87,MATCH(C100,'Compatibility Gates'!$A$4:$A$87,0)),"UNKNOWN")</x:f>
        <x:v>petg_general_0p4</x:v>
      </x:c>
    </x:row>
    <x:row r="101">
      <x:c r="A101" s="16" t="str">
        <x:v>03C3</x:v>
      </x:c>
      <x:c r="B101" s="16" t="str">
        <x:v>03C3_PETG_camera_plate.3mf</x:v>
      </x:c>
      <x:c r="C101" s="16" t="str">
        <x:v>general_clearance_holes_coupon_pass</x:v>
      </x:c>
      <x:c r="D101" s="16" t="str">
        <x:f>IFERROR(INDEX('Compatibility Gates'!$C$4:$C$87,MATCH(C101,'Compatibility Gates'!$A$4:$A$87,0)),"UNKNOWN")</x:f>
        <x:v>NOT_TESTED</x:v>
      </x:c>
      <x:c r="E101" s="16" t="str">
        <x:f>IFERROR(INDEX('Compatibility Gates'!$B$4:$B$87,MATCH(C101,'Compatibility Gates'!$A$4:$A$87,0)),"UNKNOWN")</x:f>
        <x:v>coupon</x:v>
      </x:c>
      <x:c r="F101" s="16" t="str">
        <x:f>IFERROR(INDEX('Compatibility Gates'!$D$4:$D$87,MATCH(C101,'Compatibility Gates'!$A$4:$A$87,0)),"UNKNOWN")</x:f>
        <x:v>abs_rapido_general_0p4</x:v>
      </x:c>
    </x:row>
    <x:row r="102">
      <x:c r="A102" s="20" t="str">
        <x:v>03C3</x:v>
      </x:c>
      <x:c r="B102" s="20" t="str">
        <x:v>03C3_PETG_camera_plate.3mf</x:v>
      </x:c>
      <x:c r="C102" s="20" t="str">
        <x:v>setup_hardware_coupon_pass</x:v>
      </x:c>
      <x:c r="D102" s="20" t="str">
        <x:f>IFERROR(INDEX('Compatibility Gates'!$C$4:$C$87,MATCH(C102,'Compatibility Gates'!$A$4:$A$87,0)),"UNKNOWN")</x:f>
        <x:v>NOT_TESTED</x:v>
      </x:c>
      <x:c r="E102" s="20" t="str">
        <x:f>IFERROR(INDEX('Compatibility Gates'!$B$4:$B$87,MATCH(C102,'Compatibility Gates'!$A$4:$A$87,0)),"UNKNOWN")</x:f>
        <x:v>coupon</x:v>
      </x:c>
      <x:c r="F102" s="20" t="str">
        <x:f>IFERROR(INDEX('Compatibility Gates'!$D$4:$D$87,MATCH(C102,'Compatibility Gates'!$A$4:$A$87,0)),"UNKNOWN")</x:f>
        <x:v>abs_rapido_general_0p4</x:v>
      </x:c>
    </x:row>
    <x:row r="103">
      <x:c r="A103" s="16" t="str">
        <x:v>03C3</x:v>
      </x:c>
      <x:c r="B103" s="16" t="str">
        <x:v>03C3_PETG_camera_plate.3mf</x:v>
      </x:c>
      <x:c r="C103" s="16" t="str">
        <x:v>geometry_matches_measurements</x:v>
      </x:c>
      <x:c r="D103" s="16" t="str">
        <x:f>IFERROR(INDEX('Compatibility Gates'!$C$4:$C$87,MATCH(C103,'Compatibility Gates'!$A$4:$A$87,0)),"UNKNOWN")</x:f>
        <x:v>NOT_TESTED</x:v>
      </x:c>
      <x:c r="E103" s="16" t="str">
        <x:f>IFERROR(INDEX('Compatibility Gates'!$B$4:$B$87,MATCH(C103,'Compatibility Gates'!$A$4:$A$87,0)),"UNKNOWN")</x:f>
        <x:v>release</x:v>
      </x:c>
      <x:c r="F103" s="16" t="str">
        <x:f>IFERROR(INDEX('Compatibility Gates'!$D$4:$D$87,MATCH(C103,'Compatibility Gates'!$A$4:$A$87,0)),"UNKNOWN")</x:f>
        <x:v>generated_geometry</x:v>
      </x:c>
    </x:row>
    <x:row r="104">
      <x:c r="A104" s="20" t="str">
        <x:v>03C3</x:v>
      </x:c>
      <x:c r="B104" s="20" t="str">
        <x:v>03C3_PETG_camera_plate.3mf</x:v>
      </x:c>
      <x:c r="C104" s="20" t="str">
        <x:v>qidi_studio_roundtrip_confirmed</x:v>
      </x:c>
      <x:c r="D104" s="20" t="str">
        <x:f>IFERROR(INDEX('Compatibility Gates'!$C$4:$C$87,MATCH(C104,'Compatibility Gates'!$A$4:$A$87,0)),"UNKNOWN")</x:f>
        <x:v>NOT_TESTED</x:v>
      </x:c>
      <x:c r="E104" s="20" t="str">
        <x:f>IFERROR(INDEX('Compatibility Gates'!$B$4:$B$87,MATCH(C104,'Compatibility Gates'!$A$4:$A$87,0)),"UNKNOWN")</x:f>
        <x:v>release</x:v>
      </x:c>
      <x:c r="F104" s="20" t="str">
        <x:f>IFERROR(INDEX('Compatibility Gates'!$D$4:$D$87,MATCH(C104,'Compatibility Gates'!$A$4:$A$87,0)),"UNKNOWN")</x:f>
        <x:v>all_active_profiles</x:v>
      </x:c>
    </x:row>
    <x:row r="105">
      <x:c r="A105" s="16" t="str">
        <x:v>03D</x:v>
      </x:c>
      <x:c r="B105" s="16" t="str">
        <x:v>03D_ABS_TCP_datum_cartridges.3mf</x:v>
      </x:c>
      <x:c r="C105" s="16" t="str">
        <x:v>plus4_machine_confirmed</x:v>
      </x:c>
      <x:c r="D105" s="16" t="str">
        <x:f>IFERROR(INDEX('Compatibility Gates'!$C$4:$C$87,MATCH(C105,'Compatibility Gates'!$A$4:$A$87,0)),"UNKNOWN")</x:f>
        <x:v>PASS</x:v>
      </x:c>
      <x:c r="E105" s="16" t="str">
        <x:f>IFERROR(INDEX('Compatibility Gates'!$B$4:$B$87,MATCH(C105,'Compatibility Gates'!$A$4:$A$87,0)),"UNKNOWN")</x:f>
        <x:v>machine</x:v>
      </x:c>
      <x:c r="F105" s="16" t="str">
        <x:f>IFERROR(INDEX('Compatibility Gates'!$D$4:$D$87,MATCH(C105,'Compatibility Gates'!$A$4:$A$87,0)),"UNKNOWN")</x:f>
        <x:v>machine_configuration</x:v>
      </x:c>
    </x:row>
    <x:row r="106">
      <x:c r="A106" s="20" t="str">
        <x:v>03D</x:v>
      </x:c>
      <x:c r="B106" s="20" t="str">
        <x:v>03D_ABS_TCP_datum_cartridges.3mf</x:v>
      </x:c>
      <x:c r="C106" s="20" t="str">
        <x:v>plus4_protected_envelope_verified</x:v>
      </x:c>
      <x:c r="D106" s="20" t="str">
        <x:f>IFERROR(INDEX('Compatibility Gates'!$C$4:$C$87,MATCH(C106,'Compatibility Gates'!$A$4:$A$87,0)),"UNKNOWN")</x:f>
        <x:v>PASS</x:v>
      </x:c>
      <x:c r="E106" s="20" t="str">
        <x:f>IFERROR(INDEX('Compatibility Gates'!$B$4:$B$87,MATCH(C106,'Compatibility Gates'!$A$4:$A$87,0)),"UNKNOWN")</x:f>
        <x:v>machine</x:v>
      </x:c>
      <x:c r="F106" s="20" t="str">
        <x:f>IFERROR(INDEX('Compatibility Gates'!$D$4:$D$87,MATCH(C106,'Compatibility Gates'!$A$4:$A$87,0)),"UNKNOWN")</x:f>
        <x:v>machine_configuration</x:v>
      </x:c>
    </x:row>
    <x:row r="107">
      <x:c r="A107" s="16" t="str">
        <x:v>03D</x:v>
      </x:c>
      <x:c r="B107" s="16" t="str">
        <x:v>03D_ABS_TCP_datum_cartridges.3mf</x:v>
      </x:c>
      <x:c r="C107" s="16" t="str">
        <x:v>nozzle_0p4_confirmed</x:v>
      </x:c>
      <x:c r="D107" s="16" t="str">
        <x:f>IFERROR(INDEX('Compatibility Gates'!$C$4:$C$87,MATCH(C107,'Compatibility Gates'!$A$4:$A$87,0)),"UNKNOWN")</x:f>
        <x:v>PASS</x:v>
      </x:c>
      <x:c r="E107" s="16" t="str">
        <x:f>IFERROR(INDEX('Compatibility Gates'!$B$4:$B$87,MATCH(C107,'Compatibility Gates'!$A$4:$A$87,0)),"UNKNOWN")</x:f>
        <x:v>machine</x:v>
      </x:c>
      <x:c r="F107" s="16" t="str">
        <x:f>IFERROR(INDEX('Compatibility Gates'!$D$4:$D$87,MATCH(C107,'Compatibility Gates'!$A$4:$A$87,0)),"UNKNOWN")</x:f>
        <x:v>machine_configuration</x:v>
      </x:c>
    </x:row>
    <x:row r="108">
      <x:c r="A108" s="20" t="str">
        <x:v>03D</x:v>
      </x:c>
      <x:c r="B108" s="20" t="str">
        <x:v>03D_ABS_TCP_datum_cartridges.3mf</x:v>
      </x:c>
      <x:c r="C108" s="20" t="str">
        <x:v>abs_rapido_calibration_profile_calibrated</x:v>
      </x:c>
      <x:c r="D108" s="20" t="str">
        <x:f>IFERROR(INDEX('Compatibility Gates'!$C$4:$C$87,MATCH(C108,'Compatibility Gates'!$A$4:$A$87,0)),"UNKNOWN")</x:f>
        <x:v>PASS</x:v>
      </x:c>
      <x:c r="E108" s="20" t="str">
        <x:f>IFERROR(INDEX('Compatibility Gates'!$B$4:$B$87,MATCH(C108,'Compatibility Gates'!$A$4:$A$87,0)),"UNKNOWN")</x:f>
        <x:v>material</x:v>
      </x:c>
      <x:c r="F108" s="20" t="str">
        <x:f>IFERROR(INDEX('Compatibility Gates'!$D$4:$D$87,MATCH(C108,'Compatibility Gates'!$A$4:$A$87,0)),"UNKNOWN")</x:f>
        <x:v>abs_rapido_calibration_0p4</x:v>
      </x:c>
    </x:row>
    <x:row r="109">
      <x:c r="A109" s="16" t="str">
        <x:v>03D</x:v>
      </x:c>
      <x:c r="B109" s="16" t="str">
        <x:v>03D_ABS_TCP_datum_cartridges.3mf</x:v>
      </x:c>
      <x:c r="C109" s="16" t="str">
        <x:v>calibration_clearance_holes_coupon_pass</x:v>
      </x:c>
      <x:c r="D109" s="16" t="str">
        <x:f>IFERROR(INDEX('Compatibility Gates'!$C$4:$C$87,MATCH(C109,'Compatibility Gates'!$A$4:$A$87,0)),"UNKNOWN")</x:f>
        <x:v>NOT_TESTED</x:v>
      </x:c>
      <x:c r="E109" s="16" t="str">
        <x:f>IFERROR(INDEX('Compatibility Gates'!$B$4:$B$87,MATCH(C109,'Compatibility Gates'!$A$4:$A$87,0)),"UNKNOWN")</x:f>
        <x:v>coupon</x:v>
      </x:c>
      <x:c r="F109" s="16" t="str">
        <x:f>IFERROR(INDEX('Compatibility Gates'!$D$4:$D$87,MATCH(C109,'Compatibility Gates'!$A$4:$A$87,0)),"UNKNOWN")</x:f>
        <x:v>abs_rapido_calibration_0p4</x:v>
      </x:c>
    </x:row>
    <x:row r="110">
      <x:c r="A110" s="20" t="str">
        <x:v>03D</x:v>
      </x:c>
      <x:c r="B110" s="20" t="str">
        <x:v>03D_ABS_TCP_datum_cartridges.3mf</x:v>
      </x:c>
      <x:c r="C110" s="20" t="str">
        <x:v>phone_station_registration_coupon_pass</x:v>
      </x:c>
      <x:c r="D110" s="20" t="str">
        <x:f>IFERROR(INDEX('Compatibility Gates'!$C$4:$C$87,MATCH(C110,'Compatibility Gates'!$A$4:$A$87,0)),"UNKNOWN")</x:f>
        <x:v>NOT_TESTED</x:v>
      </x:c>
      <x:c r="E110" s="20" t="str">
        <x:f>IFERROR(INDEX('Compatibility Gates'!$B$4:$B$87,MATCH(C110,'Compatibility Gates'!$A$4:$A$87,0)),"UNKNOWN")</x:f>
        <x:v>coupon</x:v>
      </x:c>
      <x:c r="F110" s="20" t="str">
        <x:f>IFERROR(INDEX('Compatibility Gates'!$D$4:$D$87,MATCH(C110,'Compatibility Gates'!$A$4:$A$87,0)),"UNKNOWN")</x:f>
        <x:v>abs_rapido_cradle_0p4</x:v>
      </x:c>
    </x:row>
    <x:row r="111">
      <x:c r="A111" s="16" t="str">
        <x:v>03D</x:v>
      </x:c>
      <x:c r="B111" s="16" t="str">
        <x:v>03D_ABS_TCP_datum_cartridges.3mf</x:v>
      </x:c>
      <x:c r="C111" s="16" t="str">
        <x:v>geometry_matches_measurements</x:v>
      </x:c>
      <x:c r="D111" s="16" t="str">
        <x:f>IFERROR(INDEX('Compatibility Gates'!$C$4:$C$87,MATCH(C111,'Compatibility Gates'!$A$4:$A$87,0)),"UNKNOWN")</x:f>
        <x:v>NOT_TESTED</x:v>
      </x:c>
      <x:c r="E111" s="16" t="str">
        <x:f>IFERROR(INDEX('Compatibility Gates'!$B$4:$B$87,MATCH(C111,'Compatibility Gates'!$A$4:$A$87,0)),"UNKNOWN")</x:f>
        <x:v>release</x:v>
      </x:c>
      <x:c r="F111" s="16" t="str">
        <x:f>IFERROR(INDEX('Compatibility Gates'!$D$4:$D$87,MATCH(C111,'Compatibility Gates'!$A$4:$A$87,0)),"UNKNOWN")</x:f>
        <x:v>generated_geometry</x:v>
      </x:c>
    </x:row>
    <x:row r="112">
      <x:c r="A112" s="20" t="str">
        <x:v>03D</x:v>
      </x:c>
      <x:c r="B112" s="20" t="str">
        <x:v>03D_ABS_TCP_datum_cartridges.3mf</x:v>
      </x:c>
      <x:c r="C112" s="20" t="str">
        <x:v>qidi_studio_roundtrip_confirmed</x:v>
      </x:c>
      <x:c r="D112" s="20" t="str">
        <x:f>IFERROR(INDEX('Compatibility Gates'!$C$4:$C$87,MATCH(C112,'Compatibility Gates'!$A$4:$A$87,0)),"UNKNOWN")</x:f>
        <x:v>NOT_TESTED</x:v>
      </x:c>
      <x:c r="E112" s="20" t="str">
        <x:f>IFERROR(INDEX('Compatibility Gates'!$B$4:$B$87,MATCH(C112,'Compatibility Gates'!$A$4:$A$87,0)),"UNKNOWN")</x:f>
        <x:v>release</x:v>
      </x:c>
      <x:c r="F112" s="20" t="str">
        <x:f>IFERROR(INDEX('Compatibility Gates'!$D$4:$D$87,MATCH(C112,'Compatibility Gates'!$A$4:$A$87,0)),"UNKNOWN")</x:f>
        <x:v>all_active_profiles</x:v>
      </x:c>
    </x:row>
    <x:row r="113">
      <x:c r="A113" s="16" t="str">
        <x:v>04A</x:v>
      </x:c>
      <x:c r="B113" s="16" t="str">
        <x:v>04A_ABS_shared_compliant_tool.3mf</x:v>
      </x:c>
      <x:c r="C113" s="16" t="str">
        <x:v>plus4_machine_confirmed</x:v>
      </x:c>
      <x:c r="D113" s="16" t="str">
        <x:f>IFERROR(INDEX('Compatibility Gates'!$C$4:$C$87,MATCH(C113,'Compatibility Gates'!$A$4:$A$87,0)),"UNKNOWN")</x:f>
        <x:v>PASS</x:v>
      </x:c>
      <x:c r="E113" s="16" t="str">
        <x:f>IFERROR(INDEX('Compatibility Gates'!$B$4:$B$87,MATCH(C113,'Compatibility Gates'!$A$4:$A$87,0)),"UNKNOWN")</x:f>
        <x:v>machine</x:v>
      </x:c>
      <x:c r="F113" s="16" t="str">
        <x:f>IFERROR(INDEX('Compatibility Gates'!$D$4:$D$87,MATCH(C113,'Compatibility Gates'!$A$4:$A$87,0)),"UNKNOWN")</x:f>
        <x:v>machine_configuration</x:v>
      </x:c>
    </x:row>
    <x:row r="114">
      <x:c r="A114" s="20" t="str">
        <x:v>04A</x:v>
      </x:c>
      <x:c r="B114" s="20" t="str">
        <x:v>04A_ABS_shared_compliant_tool.3mf</x:v>
      </x:c>
      <x:c r="C114" s="20" t="str">
        <x:v>plus4_protected_envelope_verified</x:v>
      </x:c>
      <x:c r="D114" s="20" t="str">
        <x:f>IFERROR(INDEX('Compatibility Gates'!$C$4:$C$87,MATCH(C114,'Compatibility Gates'!$A$4:$A$87,0)),"UNKNOWN")</x:f>
        <x:v>PASS</x:v>
      </x:c>
      <x:c r="E114" s="20" t="str">
        <x:f>IFERROR(INDEX('Compatibility Gates'!$B$4:$B$87,MATCH(C114,'Compatibility Gates'!$A$4:$A$87,0)),"UNKNOWN")</x:f>
        <x:v>machine</x:v>
      </x:c>
      <x:c r="F114" s="20" t="str">
        <x:f>IFERROR(INDEX('Compatibility Gates'!$D$4:$D$87,MATCH(C114,'Compatibility Gates'!$A$4:$A$87,0)),"UNKNOWN")</x:f>
        <x:v>machine_configuration</x:v>
      </x:c>
    </x:row>
    <x:row r="115">
      <x:c r="A115" s="16" t="str">
        <x:v>04A</x:v>
      </x:c>
      <x:c r="B115" s="16" t="str">
        <x:v>04A_ABS_shared_compliant_tool.3mf</x:v>
      </x:c>
      <x:c r="C115" s="16" t="str">
        <x:v>nozzle_0p4_confirmed</x:v>
      </x:c>
      <x:c r="D115" s="16" t="str">
        <x:f>IFERROR(INDEX('Compatibility Gates'!$C$4:$C$87,MATCH(C115,'Compatibility Gates'!$A$4:$A$87,0)),"UNKNOWN")</x:f>
        <x:v>PASS</x:v>
      </x:c>
      <x:c r="E115" s="16" t="str">
        <x:f>IFERROR(INDEX('Compatibility Gates'!$B$4:$B$87,MATCH(C115,'Compatibility Gates'!$A$4:$A$87,0)),"UNKNOWN")</x:f>
        <x:v>machine</x:v>
      </x:c>
      <x:c r="F115" s="16" t="str">
        <x:f>IFERROR(INDEX('Compatibility Gates'!$D$4:$D$87,MATCH(C115,'Compatibility Gates'!$A$4:$A$87,0)),"UNKNOWN")</x:f>
        <x:v>machine_configuration</x:v>
      </x:c>
    </x:row>
    <x:row r="116">
      <x:c r="A116" s="20" t="str">
        <x:v>04A</x:v>
      </x:c>
      <x:c r="B116" s="20" t="str">
        <x:v>04A_ABS_shared_compliant_tool.3mf</x:v>
      </x:c>
      <x:c r="C116" s="20" t="str">
        <x:v>abs_rapido_precision_profile_calibrated</x:v>
      </x:c>
      <x:c r="D116" s="20" t="str">
        <x:f>IFERROR(INDEX('Compatibility Gates'!$C$4:$C$87,MATCH(C116,'Compatibility Gates'!$A$4:$A$87,0)),"UNKNOWN")</x:f>
        <x:v>PASS</x:v>
      </x:c>
      <x:c r="E116" s="20" t="str">
        <x:f>IFERROR(INDEX('Compatibility Gates'!$B$4:$B$87,MATCH(C116,'Compatibility Gates'!$A$4:$A$87,0)),"UNKNOWN")</x:f>
        <x:v>material</x:v>
      </x:c>
      <x:c r="F116" s="20" t="str">
        <x:f>IFERROR(INDEX('Compatibility Gates'!$D$4:$D$87,MATCH(C116,'Compatibility Gates'!$A$4:$A$87,0)),"UNKNOWN")</x:f>
        <x:v>abs_rapido_precision_0p4</x:v>
      </x:c>
    </x:row>
    <x:row r="117">
      <x:c r="A117" s="16" t="str">
        <x:v>04A</x:v>
      </x:c>
      <x:c r="B117" s="16" t="str">
        <x:v>04A_ABS_shared_compliant_tool.3mf</x:v>
      </x:c>
      <x:c r="C117" s="16" t="str">
        <x:v>compliant_tool_m3_insert_coupon_pass</x:v>
      </x:c>
      <x:c r="D117" s="16" t="str">
        <x:f>IFERROR(INDEX('Compatibility Gates'!$C$4:$C$87,MATCH(C117,'Compatibility Gates'!$A$4:$A$87,0)),"UNKNOWN")</x:f>
        <x:v>NOT_TESTED</x:v>
      </x:c>
      <x:c r="E117" s="16" t="str">
        <x:f>IFERROR(INDEX('Compatibility Gates'!$B$4:$B$87,MATCH(C117,'Compatibility Gates'!$A$4:$A$87,0)),"UNKNOWN")</x:f>
        <x:v>coupon</x:v>
      </x:c>
      <x:c r="F117" s="16" t="str">
        <x:f>IFERROR(INDEX('Compatibility Gates'!$D$4:$D$87,MATCH(C117,'Compatibility Gates'!$A$4:$A$87,0)),"UNKNOWN")</x:f>
        <x:v>abs_rapido_precision_0p4</x:v>
      </x:c>
    </x:row>
    <x:row r="118">
      <x:c r="A118" s="20" t="str">
        <x:v>04A</x:v>
      </x:c>
      <x:c r="B118" s="20" t="str">
        <x:v>04A_ABS_shared_compliant_tool.3mf</x:v>
      </x:c>
      <x:c r="C118" s="20" t="str">
        <x:v>gripper_interface_measured</x:v>
      </x:c>
      <x:c r="D118" s="20" t="str">
        <x:f>IFERROR(INDEX('Compatibility Gates'!$C$4:$C$87,MATCH(C118,'Compatibility Gates'!$A$4:$A$87,0)),"UNKNOWN")</x:f>
        <x:v>NOT_TESTED</x:v>
      </x:c>
      <x:c r="E118" s="20" t="str">
        <x:f>IFERROR(INDEX('Compatibility Gates'!$B$4:$B$87,MATCH(C118,'Compatibility Gates'!$A$4:$A$87,0)),"UNKNOWN")</x:f>
        <x:v>measurement</x:v>
      </x:c>
      <x:c r="F118" s="20" t="str">
        <x:f>IFERROR(INDEX('Compatibility Gates'!$D$4:$D$87,MATCH(C118,'Compatibility Gates'!$A$4:$A$87,0)),"UNKNOWN")</x:f>
        <x:v>abs_rapido_precision_0p4</x:v>
      </x:c>
    </x:row>
    <x:row r="119">
      <x:c r="A119" s="16" t="str">
        <x:v>04A</x:v>
      </x:c>
      <x:c r="B119" s="16" t="str">
        <x:v>04A_ABS_shared_compliant_tool.3mf</x:v>
      </x:c>
      <x:c r="C119" s="16" t="str">
        <x:v>gripper_coupon_pass</x:v>
      </x:c>
      <x:c r="D119" s="16" t="str">
        <x:f>IFERROR(INDEX('Compatibility Gates'!$C$4:$C$87,MATCH(C119,'Compatibility Gates'!$A$4:$A$87,0)),"UNKNOWN")</x:f>
        <x:v>NOT_TESTED</x:v>
      </x:c>
      <x:c r="E119" s="16" t="str">
        <x:f>IFERROR(INDEX('Compatibility Gates'!$B$4:$B$87,MATCH(C119,'Compatibility Gates'!$A$4:$A$87,0)),"UNKNOWN")</x:f>
        <x:v>coupon</x:v>
      </x:c>
      <x:c r="F119" s="16" t="str">
        <x:f>IFERROR(INDEX('Compatibility Gates'!$D$4:$D$87,MATCH(C119,'Compatibility Gates'!$A$4:$A$87,0)),"UNKNOWN")</x:f>
        <x:v>abs_rapido_precision_0p4</x:v>
      </x:c>
    </x:row>
    <x:row r="120">
      <x:c r="A120" s="20" t="str">
        <x:v>04A</x:v>
      </x:c>
      <x:c r="B120" s="20" t="str">
        <x:v>04A_ABS_shared_compliant_tool.3mf</x:v>
      </x:c>
      <x:c r="C120" s="20" t="str">
        <x:v>spring_dimensions_measured</x:v>
      </x:c>
      <x:c r="D120" s="20" t="str">
        <x:f>IFERROR(INDEX('Compatibility Gates'!$C$4:$C$87,MATCH(C120,'Compatibility Gates'!$A$4:$A$87,0)),"UNKNOWN")</x:f>
        <x:v>NOT_TESTED</x:v>
      </x:c>
      <x:c r="E120" s="20" t="str">
        <x:f>IFERROR(INDEX('Compatibility Gates'!$B$4:$B$87,MATCH(C120,'Compatibility Gates'!$A$4:$A$87,0)),"UNKNOWN")</x:f>
        <x:v>measurement</x:v>
      </x:c>
      <x:c r="F120" s="20" t="str">
        <x:f>IFERROR(INDEX('Compatibility Gates'!$D$4:$D$87,MATCH(C120,'Compatibility Gates'!$A$4:$A$87,0)),"UNKNOWN")</x:f>
        <x:v>abs_rapido_precision_0p4</x:v>
      </x:c>
    </x:row>
    <x:row r="121">
      <x:c r="A121" s="16" t="str">
        <x:v>04A</x:v>
      </x:c>
      <x:c r="B121" s="16" t="str">
        <x:v>04A_ABS_shared_compliant_tool.3mf</x:v>
      </x:c>
      <x:c r="C121" s="16" t="str">
        <x:v>spring_fit_coupon_pass</x:v>
      </x:c>
      <x:c r="D121" s="16" t="str">
        <x:f>IFERROR(INDEX('Compatibility Gates'!$C$4:$C$87,MATCH(C121,'Compatibility Gates'!$A$4:$A$87,0)),"UNKNOWN")</x:f>
        <x:v>NOT_TESTED</x:v>
      </x:c>
      <x:c r="E121" s="16" t="str">
        <x:f>IFERROR(INDEX('Compatibility Gates'!$B$4:$B$87,MATCH(C121,'Compatibility Gates'!$A$4:$A$87,0)),"UNKNOWN")</x:f>
        <x:v>coupon</x:v>
      </x:c>
      <x:c r="F121" s="16" t="str">
        <x:f>IFERROR(INDEX('Compatibility Gates'!$D$4:$D$87,MATCH(C121,'Compatibility Gates'!$A$4:$A$87,0)),"UNKNOWN")</x:f>
        <x:v>abs_rapido_precision_0p4</x:v>
      </x:c>
    </x:row>
    <x:row r="122">
      <x:c r="A122" s="20" t="str">
        <x:v>04A</x:v>
      </x:c>
      <x:c r="B122" s="20" t="str">
        <x:v>04A_ABS_shared_compliant_tool.3mf</x:v>
      </x:c>
      <x:c r="C122" s="20" t="str">
        <x:v>precision_m3_head_coupon_pass</x:v>
      </x:c>
      <x:c r="D122" s="20" t="str">
        <x:f>IFERROR(INDEX('Compatibility Gates'!$C$4:$C$87,MATCH(C122,'Compatibility Gates'!$A$4:$A$87,0)),"UNKNOWN")</x:f>
        <x:v>NOT_TESTED</x:v>
      </x:c>
      <x:c r="E122" s="20" t="str">
        <x:f>IFERROR(INDEX('Compatibility Gates'!$B$4:$B$87,MATCH(C122,'Compatibility Gates'!$A$4:$A$87,0)),"UNKNOWN")</x:f>
        <x:v>coupon</x:v>
      </x:c>
      <x:c r="F122" s="20" t="str">
        <x:f>IFERROR(INDEX('Compatibility Gates'!$D$4:$D$87,MATCH(C122,'Compatibility Gates'!$A$4:$A$87,0)),"UNKNOWN")</x:f>
        <x:v>abs_rapido_precision_0p4</x:v>
      </x:c>
    </x:row>
    <x:row r="123">
      <x:c r="A123" s="16" t="str">
        <x:v>04A</x:v>
      </x:c>
      <x:c r="B123" s="16" t="str">
        <x:v>04A_ABS_shared_compliant_tool.3mf</x:v>
      </x:c>
      <x:c r="C123" s="16" t="str">
        <x:v>geometry_matches_measurements</x:v>
      </x:c>
      <x:c r="D123" s="16" t="str">
        <x:f>IFERROR(INDEX('Compatibility Gates'!$C$4:$C$87,MATCH(C123,'Compatibility Gates'!$A$4:$A$87,0)),"UNKNOWN")</x:f>
        <x:v>NOT_TESTED</x:v>
      </x:c>
      <x:c r="E123" s="16" t="str">
        <x:f>IFERROR(INDEX('Compatibility Gates'!$B$4:$B$87,MATCH(C123,'Compatibility Gates'!$A$4:$A$87,0)),"UNKNOWN")</x:f>
        <x:v>release</x:v>
      </x:c>
      <x:c r="F123" s="16" t="str">
        <x:f>IFERROR(INDEX('Compatibility Gates'!$D$4:$D$87,MATCH(C123,'Compatibility Gates'!$A$4:$A$87,0)),"UNKNOWN")</x:f>
        <x:v>generated_geometry</x:v>
      </x:c>
    </x:row>
    <x:row r="124">
      <x:c r="A124" s="20" t="str">
        <x:v>04A</x:v>
      </x:c>
      <x:c r="B124" s="20" t="str">
        <x:v>04A_ABS_shared_compliant_tool.3mf</x:v>
      </x:c>
      <x:c r="C124" s="20" t="str">
        <x:v>qidi_studio_roundtrip_confirmed</x:v>
      </x:c>
      <x:c r="D124" s="20" t="str">
        <x:f>IFERROR(INDEX('Compatibility Gates'!$C$4:$C$87,MATCH(C124,'Compatibility Gates'!$A$4:$A$87,0)),"UNKNOWN")</x:f>
        <x:v>NOT_TESTED</x:v>
      </x:c>
      <x:c r="E124" s="20" t="str">
        <x:f>IFERROR(INDEX('Compatibility Gates'!$B$4:$B$87,MATCH(C124,'Compatibility Gates'!$A$4:$A$87,0)),"UNKNOWN")</x:f>
        <x:v>release</x:v>
      </x:c>
      <x:c r="F124" s="20" t="str">
        <x:f>IFERROR(INDEX('Compatibility Gates'!$D$4:$D$87,MATCH(C124,'Compatibility Gates'!$A$4:$A$87,0)),"UNKNOWN")</x:f>
        <x:v>all_active_profiles</x:v>
      </x:c>
    </x:row>
    <x:row r="125">
      <x:c r="A125" s="16" t="str">
        <x:v>04B</x:v>
      </x:c>
      <x:c r="B125" s="16" t="str">
        <x:v>04B_PETG_phone_stylus_adapters.3mf</x:v>
      </x:c>
      <x:c r="C125" s="16" t="str">
        <x:v>plus4_machine_confirmed</x:v>
      </x:c>
      <x:c r="D125" s="16" t="str">
        <x:f>IFERROR(INDEX('Compatibility Gates'!$C$4:$C$87,MATCH(C125,'Compatibility Gates'!$A$4:$A$87,0)),"UNKNOWN")</x:f>
        <x:v>PASS</x:v>
      </x:c>
      <x:c r="E125" s="16" t="str">
        <x:f>IFERROR(INDEX('Compatibility Gates'!$B$4:$B$87,MATCH(C125,'Compatibility Gates'!$A$4:$A$87,0)),"UNKNOWN")</x:f>
        <x:v>machine</x:v>
      </x:c>
      <x:c r="F125" s="16" t="str">
        <x:f>IFERROR(INDEX('Compatibility Gates'!$D$4:$D$87,MATCH(C125,'Compatibility Gates'!$A$4:$A$87,0)),"UNKNOWN")</x:f>
        <x:v>machine_configuration</x:v>
      </x:c>
    </x:row>
    <x:row r="126">
      <x:c r="A126" s="20" t="str">
        <x:v>04B</x:v>
      </x:c>
      <x:c r="B126" s="20" t="str">
        <x:v>04B_PETG_phone_stylus_adapters.3mf</x:v>
      </x:c>
      <x:c r="C126" s="20" t="str">
        <x:v>plus4_protected_envelope_verified</x:v>
      </x:c>
      <x:c r="D126" s="20" t="str">
        <x:f>IFERROR(INDEX('Compatibility Gates'!$C$4:$C$87,MATCH(C126,'Compatibility Gates'!$A$4:$A$87,0)),"UNKNOWN")</x:f>
        <x:v>PASS</x:v>
      </x:c>
      <x:c r="E126" s="20" t="str">
        <x:f>IFERROR(INDEX('Compatibility Gates'!$B$4:$B$87,MATCH(C126,'Compatibility Gates'!$A$4:$A$87,0)),"UNKNOWN")</x:f>
        <x:v>machine</x:v>
      </x:c>
      <x:c r="F126" s="20" t="str">
        <x:f>IFERROR(INDEX('Compatibility Gates'!$D$4:$D$87,MATCH(C126,'Compatibility Gates'!$A$4:$A$87,0)),"UNKNOWN")</x:f>
        <x:v>machine_configuration</x:v>
      </x:c>
    </x:row>
    <x:row r="127">
      <x:c r="A127" s="16" t="str">
        <x:v>04B</x:v>
      </x:c>
      <x:c r="B127" s="16" t="str">
        <x:v>04B_PETG_phone_stylus_adapters.3mf</x:v>
      </x:c>
      <x:c r="C127" s="16" t="str">
        <x:v>nozzle_0p4_confirmed</x:v>
      </x:c>
      <x:c r="D127" s="16" t="str">
        <x:f>IFERROR(INDEX('Compatibility Gates'!$C$4:$C$87,MATCH(C127,'Compatibility Gates'!$A$4:$A$87,0)),"UNKNOWN")</x:f>
        <x:v>PASS</x:v>
      </x:c>
      <x:c r="E127" s="16" t="str">
        <x:f>IFERROR(INDEX('Compatibility Gates'!$B$4:$B$87,MATCH(C127,'Compatibility Gates'!$A$4:$A$87,0)),"UNKNOWN")</x:f>
        <x:v>machine</x:v>
      </x:c>
      <x:c r="F127" s="16" t="str">
        <x:f>IFERROR(INDEX('Compatibility Gates'!$D$4:$D$87,MATCH(C127,'Compatibility Gates'!$A$4:$A$87,0)),"UNKNOWN")</x:f>
        <x:v>machine_configuration</x:v>
      </x:c>
    </x:row>
    <x:row r="128">
      <x:c r="A128" s="20" t="str">
        <x:v>04B</x:v>
      </x:c>
      <x:c r="B128" s="20" t="str">
        <x:v>04B_PETG_phone_stylus_adapters.3mf</x:v>
      </x:c>
      <x:c r="C128" s="20" t="str">
        <x:v>petg_adapter_profile_calibrated</x:v>
      </x:c>
      <x:c r="D128" s="20" t="str">
        <x:f>IFERROR(INDEX('Compatibility Gates'!$C$4:$C$87,MATCH(C128,'Compatibility Gates'!$A$4:$A$87,0)),"UNKNOWN")</x:f>
        <x:v>NOT_TESTED</x:v>
      </x:c>
      <x:c r="E128" s="20" t="str">
        <x:f>IFERROR(INDEX('Compatibility Gates'!$B$4:$B$87,MATCH(C128,'Compatibility Gates'!$A$4:$A$87,0)),"UNKNOWN")</x:f>
        <x:v>material</x:v>
      </x:c>
      <x:c r="F128" s="20" t="str">
        <x:f>IFERROR(INDEX('Compatibility Gates'!$D$4:$D$87,MATCH(C128,'Compatibility Gates'!$A$4:$A$87,0)),"UNKNOWN")</x:f>
        <x:v>petg_adapter_0p4</x:v>
      </x:c>
    </x:row>
    <x:row r="129">
      <x:c r="A129" s="16" t="str">
        <x:v>04B</x:v>
      </x:c>
      <x:c r="B129" s="16" t="str">
        <x:v>04B_PETG_phone_stylus_adapters.3mf</x:v>
      </x:c>
      <x:c r="C129" s="16" t="str">
        <x:v>stylus_diameter_measured</x:v>
      </x:c>
      <x:c r="D129" s="16" t="str">
        <x:f>IFERROR(INDEX('Compatibility Gates'!$C$4:$C$87,MATCH(C129,'Compatibility Gates'!$A$4:$A$87,0)),"UNKNOWN")</x:f>
        <x:v>NOT_TESTED</x:v>
      </x:c>
      <x:c r="E129" s="16" t="str">
        <x:f>IFERROR(INDEX('Compatibility Gates'!$B$4:$B$87,MATCH(C129,'Compatibility Gates'!$A$4:$A$87,0)),"UNKNOWN")</x:f>
        <x:v>measurement</x:v>
      </x:c>
      <x:c r="F129" s="16" t="str">
        <x:f>IFERROR(INDEX('Compatibility Gates'!$D$4:$D$87,MATCH(C129,'Compatibility Gates'!$A$4:$A$87,0)),"UNKNOWN")</x:f>
        <x:v>petg_adapter_0p4</x:v>
      </x:c>
    </x:row>
    <x:row r="130">
      <x:c r="A130" s="20" t="str">
        <x:v>04B</x:v>
      </x:c>
      <x:c r="B130" s="20" t="str">
        <x:v>04B_PETG_phone_stylus_adapters.3mf</x:v>
      </x:c>
      <x:c r="C130" s="20" t="str">
        <x:v>stylus_gauge_coupon_pass</x:v>
      </x:c>
      <x:c r="D130" s="20" t="str">
        <x:f>IFERROR(INDEX('Compatibility Gates'!$C$4:$C$87,MATCH(C130,'Compatibility Gates'!$A$4:$A$87,0)),"UNKNOWN")</x:f>
        <x:v>NOT_TESTED</x:v>
      </x:c>
      <x:c r="E130" s="20" t="str">
        <x:f>IFERROR(INDEX('Compatibility Gates'!$B$4:$B$87,MATCH(C130,'Compatibility Gates'!$A$4:$A$87,0)),"UNKNOWN")</x:f>
        <x:v>coupon</x:v>
      </x:c>
      <x:c r="F130" s="20" t="str">
        <x:f>IFERROR(INDEX('Compatibility Gates'!$D$4:$D$87,MATCH(C130,'Compatibility Gates'!$A$4:$A$87,0)),"UNKNOWN")</x:f>
        <x:v>petg_adapter_0p4</x:v>
      </x:c>
    </x:row>
    <x:row r="131">
      <x:c r="A131" s="16" t="str">
        <x:v>04B</x:v>
      </x:c>
      <x:c r="B131" s="16" t="str">
        <x:v>04B_PETG_phone_stylus_adapters.3mf</x:v>
      </x:c>
      <x:c r="C131" s="16" t="str">
        <x:v>adapter_retention_method_selected</x:v>
      </x:c>
      <x:c r="D131" s="16" t="str">
        <x:f>IFERROR(INDEX('Compatibility Gates'!$C$4:$C$87,MATCH(C131,'Compatibility Gates'!$A$4:$A$87,0)),"UNKNOWN")</x:f>
        <x:v>NOT_TESTED</x:v>
      </x:c>
      <x:c r="E131" s="16" t="str">
        <x:f>IFERROR(INDEX('Compatibility Gates'!$B$4:$B$87,MATCH(C131,'Compatibility Gates'!$A$4:$A$87,0)),"UNKNOWN")</x:f>
        <x:v>release</x:v>
      </x:c>
      <x:c r="F131" s="16" t="str">
        <x:f>IFERROR(INDEX('Compatibility Gates'!$D$4:$D$87,MATCH(C131,'Compatibility Gates'!$A$4:$A$87,0)),"UNKNOWN")</x:f>
        <x:v>petg_adapter_0p4</x:v>
      </x:c>
    </x:row>
    <x:row r="132">
      <x:c r="A132" s="20" t="str">
        <x:v>04B</x:v>
      </x:c>
      <x:c r="B132" s="20" t="str">
        <x:v>04B_PETG_phone_stylus_adapters.3mf</x:v>
      </x:c>
      <x:c r="C132" s="20" t="str">
        <x:v>qidi_studio_roundtrip_confirmed</x:v>
      </x:c>
      <x:c r="D132" s="20" t="str">
        <x:f>IFERROR(INDEX('Compatibility Gates'!$C$4:$C$87,MATCH(C132,'Compatibility Gates'!$A$4:$A$87,0)),"UNKNOWN")</x:f>
        <x:v>NOT_TESTED</x:v>
      </x:c>
      <x:c r="E132" s="20" t="str">
        <x:f>IFERROR(INDEX('Compatibility Gates'!$B$4:$B$87,MATCH(C132,'Compatibility Gates'!$A$4:$A$87,0)),"UNKNOWN")</x:f>
        <x:v>release</x:v>
      </x:c>
      <x:c r="F132" s="20" t="str">
        <x:f>IFERROR(INDEX('Compatibility Gates'!$D$4:$D$87,MATCH(C132,'Compatibility Gates'!$A$4:$A$87,0)),"UNKNOWN")</x:f>
        <x:v>all_active_profiles</x:v>
      </x:c>
    </x:row>
    <x:row r="133">
      <x:c r="A133" s="16" t="str">
        <x:v>04C</x:v>
      </x:c>
      <x:c r="B133" s="16" t="str">
        <x:v>04C_PETG_keyboard_rod_adapters.3mf</x:v>
      </x:c>
      <x:c r="C133" s="16" t="str">
        <x:v>plus4_machine_confirmed</x:v>
      </x:c>
      <x:c r="D133" s="16" t="str">
        <x:f>IFERROR(INDEX('Compatibility Gates'!$C$4:$C$87,MATCH(C133,'Compatibility Gates'!$A$4:$A$87,0)),"UNKNOWN")</x:f>
        <x:v>PASS</x:v>
      </x:c>
      <x:c r="E133" s="16" t="str">
        <x:f>IFERROR(INDEX('Compatibility Gates'!$B$4:$B$87,MATCH(C133,'Compatibility Gates'!$A$4:$A$87,0)),"UNKNOWN")</x:f>
        <x:v>machine</x:v>
      </x:c>
      <x:c r="F133" s="16" t="str">
        <x:f>IFERROR(INDEX('Compatibility Gates'!$D$4:$D$87,MATCH(C133,'Compatibility Gates'!$A$4:$A$87,0)),"UNKNOWN")</x:f>
        <x:v>machine_configuration</x:v>
      </x:c>
    </x:row>
    <x:row r="134">
      <x:c r="A134" s="20" t="str">
        <x:v>04C</x:v>
      </x:c>
      <x:c r="B134" s="20" t="str">
        <x:v>04C_PETG_keyboard_rod_adapters.3mf</x:v>
      </x:c>
      <x:c r="C134" s="20" t="str">
        <x:v>plus4_protected_envelope_verified</x:v>
      </x:c>
      <x:c r="D134" s="20" t="str">
        <x:f>IFERROR(INDEX('Compatibility Gates'!$C$4:$C$87,MATCH(C134,'Compatibility Gates'!$A$4:$A$87,0)),"UNKNOWN")</x:f>
        <x:v>PASS</x:v>
      </x:c>
      <x:c r="E134" s="20" t="str">
        <x:f>IFERROR(INDEX('Compatibility Gates'!$B$4:$B$87,MATCH(C134,'Compatibility Gates'!$A$4:$A$87,0)),"UNKNOWN")</x:f>
        <x:v>machine</x:v>
      </x:c>
      <x:c r="F134" s="20" t="str">
        <x:f>IFERROR(INDEX('Compatibility Gates'!$D$4:$D$87,MATCH(C134,'Compatibility Gates'!$A$4:$A$87,0)),"UNKNOWN")</x:f>
        <x:v>machine_configuration</x:v>
      </x:c>
    </x:row>
    <x:row r="135">
      <x:c r="A135" s="16" t="str">
        <x:v>04C</x:v>
      </x:c>
      <x:c r="B135" s="16" t="str">
        <x:v>04C_PETG_keyboard_rod_adapters.3mf</x:v>
      </x:c>
      <x:c r="C135" s="16" t="str">
        <x:v>nozzle_0p4_confirmed</x:v>
      </x:c>
      <x:c r="D135" s="16" t="str">
        <x:f>IFERROR(INDEX('Compatibility Gates'!$C$4:$C$87,MATCH(C135,'Compatibility Gates'!$A$4:$A$87,0)),"UNKNOWN")</x:f>
        <x:v>PASS</x:v>
      </x:c>
      <x:c r="E135" s="16" t="str">
        <x:f>IFERROR(INDEX('Compatibility Gates'!$B$4:$B$87,MATCH(C135,'Compatibility Gates'!$A$4:$A$87,0)),"UNKNOWN")</x:f>
        <x:v>machine</x:v>
      </x:c>
      <x:c r="F135" s="16" t="str">
        <x:f>IFERROR(INDEX('Compatibility Gates'!$D$4:$D$87,MATCH(C135,'Compatibility Gates'!$A$4:$A$87,0)),"UNKNOWN")</x:f>
        <x:v>machine_configuration</x:v>
      </x:c>
    </x:row>
    <x:row r="136">
      <x:c r="A136" s="20" t="str">
        <x:v>04C</x:v>
      </x:c>
      <x:c r="B136" s="20" t="str">
        <x:v>04C_PETG_keyboard_rod_adapters.3mf</x:v>
      </x:c>
      <x:c r="C136" s="20" t="str">
        <x:v>petg_adapter_profile_calibrated</x:v>
      </x:c>
      <x:c r="D136" s="20" t="str">
        <x:f>IFERROR(INDEX('Compatibility Gates'!$C$4:$C$87,MATCH(C136,'Compatibility Gates'!$A$4:$A$87,0)),"UNKNOWN")</x:f>
        <x:v>NOT_TESTED</x:v>
      </x:c>
      <x:c r="E136" s="20" t="str">
        <x:f>IFERROR(INDEX('Compatibility Gates'!$B$4:$B$87,MATCH(C136,'Compatibility Gates'!$A$4:$A$87,0)),"UNKNOWN")</x:f>
        <x:v>material</x:v>
      </x:c>
      <x:c r="F136" s="20" t="str">
        <x:f>IFERROR(INDEX('Compatibility Gates'!$D$4:$D$87,MATCH(C136,'Compatibility Gates'!$A$4:$A$87,0)),"UNKNOWN")</x:f>
        <x:v>petg_adapter_0p4</x:v>
      </x:c>
    </x:row>
    <x:row r="137">
      <x:c r="A137" s="16" t="str">
        <x:v>04C</x:v>
      </x:c>
      <x:c r="B137" s="16" t="str">
        <x:v>04C_PETG_keyboard_rod_adapters.3mf</x:v>
      </x:c>
      <x:c r="C137" s="16" t="str">
        <x:v>keyboard_rod_measured</x:v>
      </x:c>
      <x:c r="D137" s="16" t="str">
        <x:f>IFERROR(INDEX('Compatibility Gates'!$C$4:$C$87,MATCH(C137,'Compatibility Gates'!$A$4:$A$87,0)),"UNKNOWN")</x:f>
        <x:v>NOT_TESTED</x:v>
      </x:c>
      <x:c r="E137" s="16" t="str">
        <x:f>IFERROR(INDEX('Compatibility Gates'!$B$4:$B$87,MATCH(C137,'Compatibility Gates'!$A$4:$A$87,0)),"UNKNOWN")</x:f>
        <x:v>measurement</x:v>
      </x:c>
      <x:c r="F137" s="16" t="str">
        <x:f>IFERROR(INDEX('Compatibility Gates'!$D$4:$D$87,MATCH(C137,'Compatibility Gates'!$A$4:$A$87,0)),"UNKNOWN")</x:f>
        <x:v>petg_adapter_0p4</x:v>
      </x:c>
    </x:row>
    <x:row r="138">
      <x:c r="A138" s="20" t="str">
        <x:v>04C</x:v>
      </x:c>
      <x:c r="B138" s="20" t="str">
        <x:v>04C_PETG_keyboard_rod_adapters.3mf</x:v>
      </x:c>
      <x:c r="C138" s="20" t="str">
        <x:v>adapter_retention_method_selected</x:v>
      </x:c>
      <x:c r="D138" s="20" t="str">
        <x:f>IFERROR(INDEX('Compatibility Gates'!$C$4:$C$87,MATCH(C138,'Compatibility Gates'!$A$4:$A$87,0)),"UNKNOWN")</x:f>
        <x:v>NOT_TESTED</x:v>
      </x:c>
      <x:c r="E138" s="20" t="str">
        <x:f>IFERROR(INDEX('Compatibility Gates'!$B$4:$B$87,MATCH(C138,'Compatibility Gates'!$A$4:$A$87,0)),"UNKNOWN")</x:f>
        <x:v>release</x:v>
      </x:c>
      <x:c r="F138" s="20" t="str">
        <x:f>IFERROR(INDEX('Compatibility Gates'!$D$4:$D$87,MATCH(C138,'Compatibility Gates'!$A$4:$A$87,0)),"UNKNOWN")</x:f>
        <x:v>petg_adapter_0p4</x:v>
      </x:c>
    </x:row>
    <x:row r="139">
      <x:c r="A139" s="16" t="str">
        <x:v>04C</x:v>
      </x:c>
      <x:c r="B139" s="16" t="str">
        <x:v>04C_PETG_keyboard_rod_adapters.3mf</x:v>
      </x:c>
      <x:c r="C139" s="16" t="str">
        <x:v>geometry_matches_measurements</x:v>
      </x:c>
      <x:c r="D139" s="16" t="str">
        <x:f>IFERROR(INDEX('Compatibility Gates'!$C$4:$C$87,MATCH(C139,'Compatibility Gates'!$A$4:$A$87,0)),"UNKNOWN")</x:f>
        <x:v>NOT_TESTED</x:v>
      </x:c>
      <x:c r="E139" s="16" t="str">
        <x:f>IFERROR(INDEX('Compatibility Gates'!$B$4:$B$87,MATCH(C139,'Compatibility Gates'!$A$4:$A$87,0)),"UNKNOWN")</x:f>
        <x:v>release</x:v>
      </x:c>
      <x:c r="F139" s="16" t="str">
        <x:f>IFERROR(INDEX('Compatibility Gates'!$D$4:$D$87,MATCH(C139,'Compatibility Gates'!$A$4:$A$87,0)),"UNKNOWN")</x:f>
        <x:v>generated_geometry</x:v>
      </x:c>
    </x:row>
    <x:row r="140">
      <x:c r="A140" s="20" t="str">
        <x:v>04C</x:v>
      </x:c>
      <x:c r="B140" s="20" t="str">
        <x:v>04C_PETG_keyboard_rod_adapters.3mf</x:v>
      </x:c>
      <x:c r="C140" s="20" t="str">
        <x:v>qidi_studio_roundtrip_confirmed</x:v>
      </x:c>
      <x:c r="D140" s="20" t="str">
        <x:f>IFERROR(INDEX('Compatibility Gates'!$C$4:$C$87,MATCH(C140,'Compatibility Gates'!$A$4:$A$87,0)),"UNKNOWN")</x:f>
        <x:v>NOT_TESTED</x:v>
      </x:c>
      <x:c r="E140" s="20" t="str">
        <x:f>IFERROR(INDEX('Compatibility Gates'!$B$4:$B$87,MATCH(C140,'Compatibility Gates'!$A$4:$A$87,0)),"UNKNOWN")</x:f>
        <x:v>release</x:v>
      </x:c>
      <x:c r="F140" s="20" t="str">
        <x:f>IFERROR(INDEX('Compatibility Gates'!$D$4:$D$87,MATCH(C140,'Compatibility Gates'!$A$4:$A$87,0)),"UNKNOWN")</x:f>
        <x:v>all_active_profiles</x:v>
      </x:c>
    </x:row>
    <x:row r="141">
      <x:c r="A141" s="16" t="str">
        <x:v>05A</x:v>
      </x:c>
      <x:c r="B141" s="16" t="str">
        <x:v>05A_TPU_phone_tip_first_article.3mf</x:v>
      </x:c>
      <x:c r="C141" s="16" t="str">
        <x:v>plus4_machine_confirmed</x:v>
      </x:c>
      <x:c r="D141" s="16" t="str">
        <x:f>IFERROR(INDEX('Compatibility Gates'!$C$4:$C$87,MATCH(C141,'Compatibility Gates'!$A$4:$A$87,0)),"UNKNOWN")</x:f>
        <x:v>PASS</x:v>
      </x:c>
      <x:c r="E141" s="16" t="str">
        <x:f>IFERROR(INDEX('Compatibility Gates'!$B$4:$B$87,MATCH(C141,'Compatibility Gates'!$A$4:$A$87,0)),"UNKNOWN")</x:f>
        <x:v>machine</x:v>
      </x:c>
      <x:c r="F141" s="16" t="str">
        <x:f>IFERROR(INDEX('Compatibility Gates'!$D$4:$D$87,MATCH(C141,'Compatibility Gates'!$A$4:$A$87,0)),"UNKNOWN")</x:f>
        <x:v>machine_configuration</x:v>
      </x:c>
    </x:row>
    <x:row r="142">
      <x:c r="A142" s="20" t="str">
        <x:v>05A</x:v>
      </x:c>
      <x:c r="B142" s="20" t="str">
        <x:v>05A_TPU_phone_tip_first_article.3mf</x:v>
      </x:c>
      <x:c r="C142" s="20" t="str">
        <x:v>plus4_protected_envelope_verified</x:v>
      </x:c>
      <x:c r="D142" s="20" t="str">
        <x:f>IFERROR(INDEX('Compatibility Gates'!$C$4:$C$87,MATCH(C142,'Compatibility Gates'!$A$4:$A$87,0)),"UNKNOWN")</x:f>
        <x:v>PASS</x:v>
      </x:c>
      <x:c r="E142" s="20" t="str">
        <x:f>IFERROR(INDEX('Compatibility Gates'!$B$4:$B$87,MATCH(C142,'Compatibility Gates'!$A$4:$A$87,0)),"UNKNOWN")</x:f>
        <x:v>machine</x:v>
      </x:c>
      <x:c r="F142" s="20" t="str">
        <x:f>IFERROR(INDEX('Compatibility Gates'!$D$4:$D$87,MATCH(C142,'Compatibility Gates'!$A$4:$A$87,0)),"UNKNOWN")</x:f>
        <x:v>machine_configuration</x:v>
      </x:c>
    </x:row>
    <x:row r="143">
      <x:c r="A143" s="16" t="str">
        <x:v>05A</x:v>
      </x:c>
      <x:c r="B143" s="16" t="str">
        <x:v>05A_TPU_phone_tip_first_article.3mf</x:v>
      </x:c>
      <x:c r="C143" s="16" t="str">
        <x:v>nozzle_0p4_confirmed</x:v>
      </x:c>
      <x:c r="D143" s="16" t="str">
        <x:f>IFERROR(INDEX('Compatibility Gates'!$C$4:$C$87,MATCH(C143,'Compatibility Gates'!$A$4:$A$87,0)),"UNKNOWN")</x:f>
        <x:v>PASS</x:v>
      </x:c>
      <x:c r="E143" s="16" t="str">
        <x:f>IFERROR(INDEX('Compatibility Gates'!$B$4:$B$87,MATCH(C143,'Compatibility Gates'!$A$4:$A$87,0)),"UNKNOWN")</x:f>
        <x:v>machine</x:v>
      </x:c>
      <x:c r="F143" s="16" t="str">
        <x:f>IFERROR(INDEX('Compatibility Gates'!$D$4:$D$87,MATCH(C143,'Compatibility Gates'!$A$4:$A$87,0)),"UNKNOWN")</x:f>
        <x:v>machine_configuration</x:v>
      </x:c>
    </x:row>
    <x:row r="144">
      <x:c r="A144" s="20" t="str">
        <x:v>05A</x:v>
      </x:c>
      <x:c r="B144" s="20" t="str">
        <x:v>05A_TPU_phone_tip_first_article.3mf</x:v>
      </x:c>
      <x:c r="C144" s="20" t="str">
        <x:v>tpu_profile_calibrated</x:v>
      </x:c>
      <x:c r="D144" s="20" t="str">
        <x:f>IFERROR(INDEX('Compatibility Gates'!$C$4:$C$87,MATCH(C144,'Compatibility Gates'!$A$4:$A$87,0)),"UNKNOWN")</x:f>
        <x:v>NOT_TESTED</x:v>
      </x:c>
      <x:c r="E144" s="20" t="str">
        <x:f>IFERROR(INDEX('Compatibility Gates'!$B$4:$B$87,MATCH(C144,'Compatibility Gates'!$A$4:$A$87,0)),"UNKNOWN")</x:f>
        <x:v>material</x:v>
      </x:c>
      <x:c r="F144" s="20" t="str">
        <x:f>IFERROR(INDEX('Compatibility Gates'!$D$4:$D$87,MATCH(C144,'Compatibility Gates'!$A$4:$A$87,0)),"UNKNOWN")</x:f>
        <x:v>tpu95a_0p4</x:v>
      </x:c>
    </x:row>
    <x:row r="145">
      <x:c r="A145" s="16" t="str">
        <x:v>05A</x:v>
      </x:c>
      <x:c r="B145" s="16" t="str">
        <x:v>05A_TPU_phone_tip_first_article.3mf</x:v>
      </x:c>
      <x:c r="C145" s="16" t="str">
        <x:v>qidi_studio_roundtrip_confirmed</x:v>
      </x:c>
      <x:c r="D145" s="16" t="str">
        <x:f>IFERROR(INDEX('Compatibility Gates'!$C$4:$C$87,MATCH(C145,'Compatibility Gates'!$A$4:$A$87,0)),"UNKNOWN")</x:f>
        <x:v>NOT_TESTED</x:v>
      </x:c>
      <x:c r="E145" s="16" t="str">
        <x:f>IFERROR(INDEX('Compatibility Gates'!$B$4:$B$87,MATCH(C145,'Compatibility Gates'!$A$4:$A$87,0)),"UNKNOWN")</x:f>
        <x:v>release</x:v>
      </x:c>
      <x:c r="F145" s="16" t="str">
        <x:f>IFERROR(INDEX('Compatibility Gates'!$D$4:$D$87,MATCH(C145,'Compatibility Gates'!$A$4:$A$87,0)),"UNKNOWN")</x:f>
        <x:v>all_active_profiles</x:v>
      </x:c>
    </x:row>
    <x:row r="146">
      <x:c r="A146" s="20" t="str">
        <x:v>05B</x:v>
      </x:c>
      <x:c r="B146" s="20" t="str">
        <x:v>05B_TPU_phone_tips_and_spares.3mf</x:v>
      </x:c>
      <x:c r="C146" s="20" t="str">
        <x:v>plus4_machine_confirmed</x:v>
      </x:c>
      <x:c r="D146" s="20" t="str">
        <x:f>IFERROR(INDEX('Compatibility Gates'!$C$4:$C$87,MATCH(C146,'Compatibility Gates'!$A$4:$A$87,0)),"UNKNOWN")</x:f>
        <x:v>PASS</x:v>
      </x:c>
      <x:c r="E146" s="20" t="str">
        <x:f>IFERROR(INDEX('Compatibility Gates'!$B$4:$B$87,MATCH(C146,'Compatibility Gates'!$A$4:$A$87,0)),"UNKNOWN")</x:f>
        <x:v>machine</x:v>
      </x:c>
      <x:c r="F146" s="20" t="str">
        <x:f>IFERROR(INDEX('Compatibility Gates'!$D$4:$D$87,MATCH(C146,'Compatibility Gates'!$A$4:$A$87,0)),"UNKNOWN")</x:f>
        <x:v>machine_configuration</x:v>
      </x:c>
    </x:row>
    <x:row r="147">
      <x:c r="A147" s="16" t="str">
        <x:v>05B</x:v>
      </x:c>
      <x:c r="B147" s="16" t="str">
        <x:v>05B_TPU_phone_tips_and_spares.3mf</x:v>
      </x:c>
      <x:c r="C147" s="16" t="str">
        <x:v>plus4_protected_envelope_verified</x:v>
      </x:c>
      <x:c r="D147" s="16" t="str">
        <x:f>IFERROR(INDEX('Compatibility Gates'!$C$4:$C$87,MATCH(C147,'Compatibility Gates'!$A$4:$A$87,0)),"UNKNOWN")</x:f>
        <x:v>PASS</x:v>
      </x:c>
      <x:c r="E147" s="16" t="str">
        <x:f>IFERROR(INDEX('Compatibility Gates'!$B$4:$B$87,MATCH(C147,'Compatibility Gates'!$A$4:$A$87,0)),"UNKNOWN")</x:f>
        <x:v>machine</x:v>
      </x:c>
      <x:c r="F147" s="16" t="str">
        <x:f>IFERROR(INDEX('Compatibility Gates'!$D$4:$D$87,MATCH(C147,'Compatibility Gates'!$A$4:$A$87,0)),"UNKNOWN")</x:f>
        <x:v>machine_configuration</x:v>
      </x:c>
    </x:row>
    <x:row r="148">
      <x:c r="A148" s="20" t="str">
        <x:v>05B</x:v>
      </x:c>
      <x:c r="B148" s="20" t="str">
        <x:v>05B_TPU_phone_tips_and_spares.3mf</x:v>
      </x:c>
      <x:c r="C148" s="20" t="str">
        <x:v>nozzle_0p4_confirmed</x:v>
      </x:c>
      <x:c r="D148" s="20" t="str">
        <x:f>IFERROR(INDEX('Compatibility Gates'!$C$4:$C$87,MATCH(C148,'Compatibility Gates'!$A$4:$A$87,0)),"UNKNOWN")</x:f>
        <x:v>PASS</x:v>
      </x:c>
      <x:c r="E148" s="20" t="str">
        <x:f>IFERROR(INDEX('Compatibility Gates'!$B$4:$B$87,MATCH(C148,'Compatibility Gates'!$A$4:$A$87,0)),"UNKNOWN")</x:f>
        <x:v>machine</x:v>
      </x:c>
      <x:c r="F148" s="20" t="str">
        <x:f>IFERROR(INDEX('Compatibility Gates'!$D$4:$D$87,MATCH(C148,'Compatibility Gates'!$A$4:$A$87,0)),"UNKNOWN")</x:f>
        <x:v>machine_configuration</x:v>
      </x:c>
    </x:row>
    <x:row r="149">
      <x:c r="A149" s="16" t="str">
        <x:v>05B</x:v>
      </x:c>
      <x:c r="B149" s="16" t="str">
        <x:v>05B_TPU_phone_tips_and_spares.3mf</x:v>
      </x:c>
      <x:c r="C149" s="16" t="str">
        <x:v>tpu_profile_calibrated</x:v>
      </x:c>
      <x:c r="D149" s="16" t="str">
        <x:f>IFERROR(INDEX('Compatibility Gates'!$C$4:$C$87,MATCH(C149,'Compatibility Gates'!$A$4:$A$87,0)),"UNKNOWN")</x:f>
        <x:v>NOT_TESTED</x:v>
      </x:c>
      <x:c r="E149" s="16" t="str">
        <x:f>IFERROR(INDEX('Compatibility Gates'!$B$4:$B$87,MATCH(C149,'Compatibility Gates'!$A$4:$A$87,0)),"UNKNOWN")</x:f>
        <x:v>material</x:v>
      </x:c>
      <x:c r="F149" s="16" t="str">
        <x:f>IFERROR(INDEX('Compatibility Gates'!$D$4:$D$87,MATCH(C149,'Compatibility Gates'!$A$4:$A$87,0)),"UNKNOWN")</x:f>
        <x:v>tpu95a_0p4</x:v>
      </x:c>
    </x:row>
    <x:row r="150">
      <x:c r="A150" s="20" t="str">
        <x:v>05B</x:v>
      </x:c>
      <x:c r="B150" s="20" t="str">
        <x:v>05B_TPU_phone_tips_and_spares.3mf</x:v>
      </x:c>
      <x:c r="C150" s="20" t="str">
        <x:v>phone_tpu_retention_coupon_pass</x:v>
      </x:c>
      <x:c r="D150" s="20" t="str">
        <x:f>IFERROR(INDEX('Compatibility Gates'!$C$4:$C$87,MATCH(C150,'Compatibility Gates'!$A$4:$A$87,0)),"UNKNOWN")</x:f>
        <x:v>NOT_TESTED</x:v>
      </x:c>
      <x:c r="E150" s="20" t="str">
        <x:f>IFERROR(INDEX('Compatibility Gates'!$B$4:$B$87,MATCH(C150,'Compatibility Gates'!$A$4:$A$87,0)),"UNKNOWN")</x:f>
        <x:v>coupon</x:v>
      </x:c>
      <x:c r="F150" s="20" t="str">
        <x:f>IFERROR(INDEX('Compatibility Gates'!$D$4:$D$87,MATCH(C150,'Compatibility Gates'!$A$4:$A$87,0)),"UNKNOWN")</x:f>
        <x:v>tpu95a_0p4</x:v>
      </x:c>
    </x:row>
    <x:row r="151">
      <x:c r="A151" s="16" t="str">
        <x:v>05B</x:v>
      </x:c>
      <x:c r="B151" s="16" t="str">
        <x:v>05B_TPU_phone_tips_and_spares.3mf</x:v>
      </x:c>
      <x:c r="C151" s="16" t="str">
        <x:v>qidi_studio_roundtrip_confirmed</x:v>
      </x:c>
      <x:c r="D151" s="16" t="str">
        <x:f>IFERROR(INDEX('Compatibility Gates'!$C$4:$C$87,MATCH(C151,'Compatibility Gates'!$A$4:$A$87,0)),"UNKNOWN")</x:f>
        <x:v>NOT_TESTED</x:v>
      </x:c>
      <x:c r="E151" s="16" t="str">
        <x:f>IFERROR(INDEX('Compatibility Gates'!$B$4:$B$87,MATCH(C151,'Compatibility Gates'!$A$4:$A$87,0)),"UNKNOWN")</x:f>
        <x:v>release</x:v>
      </x:c>
      <x:c r="F151" s="16" t="str">
        <x:f>IFERROR(INDEX('Compatibility Gates'!$D$4:$D$87,MATCH(C151,'Compatibility Gates'!$A$4:$A$87,0)),"UNKNOWN")</x:f>
        <x:v>all_active_profiles</x:v>
      </x:c>
    </x:row>
    <x:row r="152">
      <x:c r="A152" s="20" t="str">
        <x:v>05C</x:v>
      </x:c>
      <x:c r="B152" s="20" t="str">
        <x:v>05C_TPU_keyboard_tip_first_article.3mf</x:v>
      </x:c>
      <x:c r="C152" s="20" t="str">
        <x:v>plus4_machine_confirmed</x:v>
      </x:c>
      <x:c r="D152" s="20" t="str">
        <x:f>IFERROR(INDEX('Compatibility Gates'!$C$4:$C$87,MATCH(C152,'Compatibility Gates'!$A$4:$A$87,0)),"UNKNOWN")</x:f>
        <x:v>PASS</x:v>
      </x:c>
      <x:c r="E152" s="20" t="str">
        <x:f>IFERROR(INDEX('Compatibility Gates'!$B$4:$B$87,MATCH(C152,'Compatibility Gates'!$A$4:$A$87,0)),"UNKNOWN")</x:f>
        <x:v>machine</x:v>
      </x:c>
      <x:c r="F152" s="20" t="str">
        <x:f>IFERROR(INDEX('Compatibility Gates'!$D$4:$D$87,MATCH(C152,'Compatibility Gates'!$A$4:$A$87,0)),"UNKNOWN")</x:f>
        <x:v>machine_configuration</x:v>
      </x:c>
    </x:row>
    <x:row r="153">
      <x:c r="A153" s="16" t="str">
        <x:v>05C</x:v>
      </x:c>
      <x:c r="B153" s="16" t="str">
        <x:v>05C_TPU_keyboard_tip_first_article.3mf</x:v>
      </x:c>
      <x:c r="C153" s="16" t="str">
        <x:v>plus4_protected_envelope_verified</x:v>
      </x:c>
      <x:c r="D153" s="16" t="str">
        <x:f>IFERROR(INDEX('Compatibility Gates'!$C$4:$C$87,MATCH(C153,'Compatibility Gates'!$A$4:$A$87,0)),"UNKNOWN")</x:f>
        <x:v>PASS</x:v>
      </x:c>
      <x:c r="E153" s="16" t="str">
        <x:f>IFERROR(INDEX('Compatibility Gates'!$B$4:$B$87,MATCH(C153,'Compatibility Gates'!$A$4:$A$87,0)),"UNKNOWN")</x:f>
        <x:v>machine</x:v>
      </x:c>
      <x:c r="F153" s="16" t="str">
        <x:f>IFERROR(INDEX('Compatibility Gates'!$D$4:$D$87,MATCH(C153,'Compatibility Gates'!$A$4:$A$87,0)),"UNKNOWN")</x:f>
        <x:v>machine_configuration</x:v>
      </x:c>
    </x:row>
    <x:row r="154">
      <x:c r="A154" s="20" t="str">
        <x:v>05C</x:v>
      </x:c>
      <x:c r="B154" s="20" t="str">
        <x:v>05C_TPU_keyboard_tip_first_article.3mf</x:v>
      </x:c>
      <x:c r="C154" s="20" t="str">
        <x:v>nozzle_0p4_confirmed</x:v>
      </x:c>
      <x:c r="D154" s="20" t="str">
        <x:f>IFERROR(INDEX('Compatibility Gates'!$C$4:$C$87,MATCH(C154,'Compatibility Gates'!$A$4:$A$87,0)),"UNKNOWN")</x:f>
        <x:v>PASS</x:v>
      </x:c>
      <x:c r="E154" s="20" t="str">
        <x:f>IFERROR(INDEX('Compatibility Gates'!$B$4:$B$87,MATCH(C154,'Compatibility Gates'!$A$4:$A$87,0)),"UNKNOWN")</x:f>
        <x:v>machine</x:v>
      </x:c>
      <x:c r="F154" s="20" t="str">
        <x:f>IFERROR(INDEX('Compatibility Gates'!$D$4:$D$87,MATCH(C154,'Compatibility Gates'!$A$4:$A$87,0)),"UNKNOWN")</x:f>
        <x:v>machine_configuration</x:v>
      </x:c>
    </x:row>
    <x:row r="155">
      <x:c r="A155" s="16" t="str">
        <x:v>05C</x:v>
      </x:c>
      <x:c r="B155" s="16" t="str">
        <x:v>05C_TPU_keyboard_tip_first_article.3mf</x:v>
      </x:c>
      <x:c r="C155" s="16" t="str">
        <x:v>tpu_profile_calibrated</x:v>
      </x:c>
      <x:c r="D155" s="16" t="str">
        <x:f>IFERROR(INDEX('Compatibility Gates'!$C$4:$C$87,MATCH(C155,'Compatibility Gates'!$A$4:$A$87,0)),"UNKNOWN")</x:f>
        <x:v>NOT_TESTED</x:v>
      </x:c>
      <x:c r="E155" s="16" t="str">
        <x:f>IFERROR(INDEX('Compatibility Gates'!$B$4:$B$87,MATCH(C155,'Compatibility Gates'!$A$4:$A$87,0)),"UNKNOWN")</x:f>
        <x:v>material</x:v>
      </x:c>
      <x:c r="F155" s="16" t="str">
        <x:f>IFERROR(INDEX('Compatibility Gates'!$D$4:$D$87,MATCH(C155,'Compatibility Gates'!$A$4:$A$87,0)),"UNKNOWN")</x:f>
        <x:v>tpu95a_0p4</x:v>
      </x:c>
    </x:row>
    <x:row r="156">
      <x:c r="A156" s="20" t="str">
        <x:v>05C</x:v>
      </x:c>
      <x:c r="B156" s="20" t="str">
        <x:v>05C_TPU_keyboard_tip_first_article.3mf</x:v>
      </x:c>
      <x:c r="C156" s="20" t="str">
        <x:v>keyboard_rod_measured</x:v>
      </x:c>
      <x:c r="D156" s="20" t="str">
        <x:f>IFERROR(INDEX('Compatibility Gates'!$C$4:$C$87,MATCH(C156,'Compatibility Gates'!$A$4:$A$87,0)),"UNKNOWN")</x:f>
        <x:v>NOT_TESTED</x:v>
      </x:c>
      <x:c r="E156" s="20" t="str">
        <x:f>IFERROR(INDEX('Compatibility Gates'!$B$4:$B$87,MATCH(C156,'Compatibility Gates'!$A$4:$A$87,0)),"UNKNOWN")</x:f>
        <x:v>measurement</x:v>
      </x:c>
      <x:c r="F156" s="20" t="str">
        <x:f>IFERROR(INDEX('Compatibility Gates'!$D$4:$D$87,MATCH(C156,'Compatibility Gates'!$A$4:$A$87,0)),"UNKNOWN")</x:f>
        <x:v>petg_adapter_0p4</x:v>
      </x:c>
    </x:row>
    <x:row r="157">
      <x:c r="A157" s="16" t="str">
        <x:v>05C</x:v>
      </x:c>
      <x:c r="B157" s="16" t="str">
        <x:v>05C_TPU_keyboard_tip_first_article.3mf</x:v>
      </x:c>
      <x:c r="C157" s="16" t="str">
        <x:v>qidi_studio_roundtrip_confirmed</x:v>
      </x:c>
      <x:c r="D157" s="16" t="str">
        <x:f>IFERROR(INDEX('Compatibility Gates'!$C$4:$C$87,MATCH(C157,'Compatibility Gates'!$A$4:$A$87,0)),"UNKNOWN")</x:f>
        <x:v>NOT_TESTED</x:v>
      </x:c>
      <x:c r="E157" s="16" t="str">
        <x:f>IFERROR(INDEX('Compatibility Gates'!$B$4:$B$87,MATCH(C157,'Compatibility Gates'!$A$4:$A$87,0)),"UNKNOWN")</x:f>
        <x:v>release</x:v>
      </x:c>
      <x:c r="F157" s="16" t="str">
        <x:f>IFERROR(INDEX('Compatibility Gates'!$D$4:$D$87,MATCH(C157,'Compatibility Gates'!$A$4:$A$87,0)),"UNKNOWN")</x:f>
        <x:v>all_active_profiles</x:v>
      </x:c>
    </x:row>
    <x:row r="158">
      <x:c r="A158" s="20" t="str">
        <x:v>05D</x:v>
      </x:c>
      <x:c r="B158" s="20" t="str">
        <x:v>05D_TPU_keyboard_tips_and_spares.3mf</x:v>
      </x:c>
      <x:c r="C158" s="20" t="str">
        <x:v>plus4_machine_confirmed</x:v>
      </x:c>
      <x:c r="D158" s="20" t="str">
        <x:f>IFERROR(INDEX('Compatibility Gates'!$C$4:$C$87,MATCH(C158,'Compatibility Gates'!$A$4:$A$87,0)),"UNKNOWN")</x:f>
        <x:v>PASS</x:v>
      </x:c>
      <x:c r="E158" s="20" t="str">
        <x:f>IFERROR(INDEX('Compatibility Gates'!$B$4:$B$87,MATCH(C158,'Compatibility Gates'!$A$4:$A$87,0)),"UNKNOWN")</x:f>
        <x:v>machine</x:v>
      </x:c>
      <x:c r="F158" s="20" t="str">
        <x:f>IFERROR(INDEX('Compatibility Gates'!$D$4:$D$87,MATCH(C158,'Compatibility Gates'!$A$4:$A$87,0)),"UNKNOWN")</x:f>
        <x:v>machine_configuration</x:v>
      </x:c>
    </x:row>
    <x:row r="159">
      <x:c r="A159" s="16" t="str">
        <x:v>05D</x:v>
      </x:c>
      <x:c r="B159" s="16" t="str">
        <x:v>05D_TPU_keyboard_tips_and_spares.3mf</x:v>
      </x:c>
      <x:c r="C159" s="16" t="str">
        <x:v>plus4_protected_envelope_verified</x:v>
      </x:c>
      <x:c r="D159" s="16" t="str">
        <x:f>IFERROR(INDEX('Compatibility Gates'!$C$4:$C$87,MATCH(C159,'Compatibility Gates'!$A$4:$A$87,0)),"UNKNOWN")</x:f>
        <x:v>PASS</x:v>
      </x:c>
      <x:c r="E159" s="16" t="str">
        <x:f>IFERROR(INDEX('Compatibility Gates'!$B$4:$B$87,MATCH(C159,'Compatibility Gates'!$A$4:$A$87,0)),"UNKNOWN")</x:f>
        <x:v>machine</x:v>
      </x:c>
      <x:c r="F159" s="16" t="str">
        <x:f>IFERROR(INDEX('Compatibility Gates'!$D$4:$D$87,MATCH(C159,'Compatibility Gates'!$A$4:$A$87,0)),"UNKNOWN")</x:f>
        <x:v>machine_configuration</x:v>
      </x:c>
    </x:row>
    <x:row r="160">
      <x:c r="A160" s="20" t="str">
        <x:v>05D</x:v>
      </x:c>
      <x:c r="B160" s="20" t="str">
        <x:v>05D_TPU_keyboard_tips_and_spares.3mf</x:v>
      </x:c>
      <x:c r="C160" s="20" t="str">
        <x:v>nozzle_0p4_confirmed</x:v>
      </x:c>
      <x:c r="D160" s="20" t="str">
        <x:f>IFERROR(INDEX('Compatibility Gates'!$C$4:$C$87,MATCH(C160,'Compatibility Gates'!$A$4:$A$87,0)),"UNKNOWN")</x:f>
        <x:v>PASS</x:v>
      </x:c>
      <x:c r="E160" s="20" t="str">
        <x:f>IFERROR(INDEX('Compatibility Gates'!$B$4:$B$87,MATCH(C160,'Compatibility Gates'!$A$4:$A$87,0)),"UNKNOWN")</x:f>
        <x:v>machine</x:v>
      </x:c>
      <x:c r="F160" s="20" t="str">
        <x:f>IFERROR(INDEX('Compatibility Gates'!$D$4:$D$87,MATCH(C160,'Compatibility Gates'!$A$4:$A$87,0)),"UNKNOWN")</x:f>
        <x:v>machine_configuration</x:v>
      </x:c>
    </x:row>
    <x:row r="161">
      <x:c r="A161" s="16" t="str">
        <x:v>05D</x:v>
      </x:c>
      <x:c r="B161" s="16" t="str">
        <x:v>05D_TPU_keyboard_tips_and_spares.3mf</x:v>
      </x:c>
      <x:c r="C161" s="16" t="str">
        <x:v>tpu_profile_calibrated</x:v>
      </x:c>
      <x:c r="D161" s="16" t="str">
        <x:f>IFERROR(INDEX('Compatibility Gates'!$C$4:$C$87,MATCH(C161,'Compatibility Gates'!$A$4:$A$87,0)),"UNKNOWN")</x:f>
        <x:v>NOT_TESTED</x:v>
      </x:c>
      <x:c r="E161" s="16" t="str">
        <x:f>IFERROR(INDEX('Compatibility Gates'!$B$4:$B$87,MATCH(C161,'Compatibility Gates'!$A$4:$A$87,0)),"UNKNOWN")</x:f>
        <x:v>material</x:v>
      </x:c>
      <x:c r="F161" s="16" t="str">
        <x:f>IFERROR(INDEX('Compatibility Gates'!$D$4:$D$87,MATCH(C161,'Compatibility Gates'!$A$4:$A$87,0)),"UNKNOWN")</x:f>
        <x:v>tpu95a_0p4</x:v>
      </x:c>
    </x:row>
    <x:row r="162">
      <x:c r="A162" s="20" t="str">
        <x:v>05D</x:v>
      </x:c>
      <x:c r="B162" s="20" t="str">
        <x:v>05D_TPU_keyboard_tips_and_spares.3mf</x:v>
      </x:c>
      <x:c r="C162" s="20" t="str">
        <x:v>keyboard_rod_measured</x:v>
      </x:c>
      <x:c r="D162" s="20" t="str">
        <x:f>IFERROR(INDEX('Compatibility Gates'!$C$4:$C$87,MATCH(C162,'Compatibility Gates'!$A$4:$A$87,0)),"UNKNOWN")</x:f>
        <x:v>NOT_TESTED</x:v>
      </x:c>
      <x:c r="E162" s="20" t="str">
        <x:f>IFERROR(INDEX('Compatibility Gates'!$B$4:$B$87,MATCH(C162,'Compatibility Gates'!$A$4:$A$87,0)),"UNKNOWN")</x:f>
        <x:v>measurement</x:v>
      </x:c>
      <x:c r="F162" s="20" t="str">
        <x:f>IFERROR(INDEX('Compatibility Gates'!$D$4:$D$87,MATCH(C162,'Compatibility Gates'!$A$4:$A$87,0)),"UNKNOWN")</x:f>
        <x:v>petg_adapter_0p4</x:v>
      </x:c>
    </x:row>
    <x:row r="163">
      <x:c r="A163" s="16" t="str">
        <x:v>05D</x:v>
      </x:c>
      <x:c r="B163" s="16" t="str">
        <x:v>05D_TPU_keyboard_tips_and_spares.3mf</x:v>
      </x:c>
      <x:c r="C163" s="16" t="str">
        <x:v>keyboard_tpu_retention_coupon_pass</x:v>
      </x:c>
      <x:c r="D163" s="16" t="str">
        <x:f>IFERROR(INDEX('Compatibility Gates'!$C$4:$C$87,MATCH(C163,'Compatibility Gates'!$A$4:$A$87,0)),"UNKNOWN")</x:f>
        <x:v>NOT_TESTED</x:v>
      </x:c>
      <x:c r="E163" s="16" t="str">
        <x:f>IFERROR(INDEX('Compatibility Gates'!$B$4:$B$87,MATCH(C163,'Compatibility Gates'!$A$4:$A$87,0)),"UNKNOWN")</x:f>
        <x:v>coupon</x:v>
      </x:c>
      <x:c r="F163" s="16" t="str">
        <x:f>IFERROR(INDEX('Compatibility Gates'!$D$4:$D$87,MATCH(C163,'Compatibility Gates'!$A$4:$A$87,0)),"UNKNOWN")</x:f>
        <x:v>tpu95a_0p4</x:v>
      </x:c>
    </x:row>
    <x:row r="164">
      <x:c r="A164" s="20" t="str">
        <x:v>05D</x:v>
      </x:c>
      <x:c r="B164" s="20" t="str">
        <x:v>05D_TPU_keyboard_tips_and_spares.3mf</x:v>
      </x:c>
      <x:c r="C164" s="20" t="str">
        <x:v>qidi_studio_roundtrip_confirmed</x:v>
      </x:c>
      <x:c r="D164" s="20" t="str">
        <x:f>IFERROR(INDEX('Compatibility Gates'!$C$4:$C$87,MATCH(C164,'Compatibility Gates'!$A$4:$A$87,0)),"UNKNOWN")</x:f>
        <x:v>NOT_TESTED</x:v>
      </x:c>
      <x:c r="E164" s="20" t="str">
        <x:f>IFERROR(INDEX('Compatibility Gates'!$B$4:$B$87,MATCH(C164,'Compatibility Gates'!$A$4:$A$87,0)),"UNKNOWN")</x:f>
        <x:v>release</x:v>
      </x:c>
      <x:c r="F164" s="20" t="str">
        <x:f>IFERROR(INDEX('Compatibility Gates'!$D$4:$D$87,MATCH(C164,'Compatibility Gates'!$A$4:$A$87,0)),"UNKNOWN")</x:f>
        <x:v>all_active_profiles</x:v>
      </x:c>
    </x:row>
    <x:row r="165">
      <x:c r="A165" s="16" t="str">
        <x:v>06</x:v>
      </x:c>
      <x:c r="B165" s="16" t="str">
        <x:v>06_ASA_mast_fit_tests.3mf</x:v>
      </x:c>
      <x:c r="C165" s="16" t="str">
        <x:v>fixed_camera_fallback_architecture_released</x:v>
      </x:c>
      <x:c r="D165" s="16" t="str">
        <x:f>IFERROR(INDEX('Compatibility Gates'!$C$4:$C$87,MATCH(C165,'Compatibility Gates'!$A$4:$A$87,0)),"UNKNOWN")</x:f>
        <x:v>NOT_TESTED</x:v>
      </x:c>
      <x:c r="E165" s="16" t="str">
        <x:f>IFERROR(INDEX('Compatibility Gates'!$B$4:$B$87,MATCH(C165,'Compatibility Gates'!$A$4:$A$87,0)),"UNKNOWN")</x:f>
        <x:v>engineering_release</x:v>
      </x:c>
      <x:c r="F165" s="16" t="str">
        <x:f>IFERROR(INDEX('Compatibility Gates'!$D$4:$D$87,MATCH(C165,'Compatibility Gates'!$A$4:$A$87,0)),"UNKNOWN")</x:f>
        <x:v>camera_architecture_control</x:v>
      </x:c>
    </x:row>
    <x:row r="166">
      <x:c r="A166" s="20" t="str">
        <x:v>06</x:v>
      </x:c>
      <x:c r="B166" s="20" t="str">
        <x:v>06_ASA_mast_fit_tests.3mf</x:v>
      </x:c>
      <x:c r="C166" s="20" t="str">
        <x:v>plus4_machine_confirmed</x:v>
      </x:c>
      <x:c r="D166" s="20" t="str">
        <x:f>IFERROR(INDEX('Compatibility Gates'!$C$4:$C$87,MATCH(C166,'Compatibility Gates'!$A$4:$A$87,0)),"UNKNOWN")</x:f>
        <x:v>PASS</x:v>
      </x:c>
      <x:c r="E166" s="20" t="str">
        <x:f>IFERROR(INDEX('Compatibility Gates'!$B$4:$B$87,MATCH(C166,'Compatibility Gates'!$A$4:$A$87,0)),"UNKNOWN")</x:f>
        <x:v>machine</x:v>
      </x:c>
      <x:c r="F166" s="20" t="str">
        <x:f>IFERROR(INDEX('Compatibility Gates'!$D$4:$D$87,MATCH(C166,'Compatibility Gates'!$A$4:$A$87,0)),"UNKNOWN")</x:f>
        <x:v>machine_configuration</x:v>
      </x:c>
    </x:row>
    <x:row r="167">
      <x:c r="A167" s="16" t="str">
        <x:v>06</x:v>
      </x:c>
      <x:c r="B167" s="16" t="str">
        <x:v>06_ASA_mast_fit_tests.3mf</x:v>
      </x:c>
      <x:c r="C167" s="16" t="str">
        <x:v>plus4_protected_envelope_verified</x:v>
      </x:c>
      <x:c r="D167" s="16" t="str">
        <x:f>IFERROR(INDEX('Compatibility Gates'!$C$4:$C$87,MATCH(C167,'Compatibility Gates'!$A$4:$A$87,0)),"UNKNOWN")</x:f>
        <x:v>PASS</x:v>
      </x:c>
      <x:c r="E167" s="16" t="str">
        <x:f>IFERROR(INDEX('Compatibility Gates'!$B$4:$B$87,MATCH(C167,'Compatibility Gates'!$A$4:$A$87,0)),"UNKNOWN")</x:f>
        <x:v>machine</x:v>
      </x:c>
      <x:c r="F167" s="16" t="str">
        <x:f>IFERROR(INDEX('Compatibility Gates'!$D$4:$D$87,MATCH(C167,'Compatibility Gates'!$A$4:$A$87,0)),"UNKNOWN")</x:f>
        <x:v>machine_configuration</x:v>
      </x:c>
    </x:row>
    <x:row r="168">
      <x:c r="A168" s="20" t="str">
        <x:v>06</x:v>
      </x:c>
      <x:c r="B168" s="20" t="str">
        <x:v>06_ASA_mast_fit_tests.3mf</x:v>
      </x:c>
      <x:c r="C168" s="20" t="str">
        <x:v>nozzle_0p4_confirmed</x:v>
      </x:c>
      <x:c r="D168" s="20" t="str">
        <x:f>IFERROR(INDEX('Compatibility Gates'!$C$4:$C$87,MATCH(C168,'Compatibility Gates'!$A$4:$A$87,0)),"UNKNOWN")</x:f>
        <x:v>PASS</x:v>
      </x:c>
      <x:c r="E168" s="20" t="str">
        <x:f>IFERROR(INDEX('Compatibility Gates'!$B$4:$B$87,MATCH(C168,'Compatibility Gates'!$A$4:$A$87,0)),"UNKNOWN")</x:f>
        <x:v>machine</x:v>
      </x:c>
      <x:c r="F168" s="20" t="str">
        <x:f>IFERROR(INDEX('Compatibility Gates'!$D$4:$D$87,MATCH(C168,'Compatibility Gates'!$A$4:$A$87,0)),"UNKNOWN")</x:f>
        <x:v>machine_configuration</x:v>
      </x:c>
    </x:row>
    <x:row r="169">
      <x:c r="A169" s="16" t="str">
        <x:v>06</x:v>
      </x:c>
      <x:c r="B169" s="16" t="str">
        <x:v>06_ASA_mast_fit_tests.3mf</x:v>
      </x:c>
      <x:c r="C169" s="16" t="str">
        <x:v>asa_profile_calibrated</x:v>
      </x:c>
      <x:c r="D169" s="16" t="str">
        <x:f>IFERROR(INDEX('Compatibility Gates'!$C$4:$C$87,MATCH(C169,'Compatibility Gates'!$A$4:$A$87,0)),"UNKNOWN")</x:f>
        <x:v>NOT_TESTED</x:v>
      </x:c>
      <x:c r="E169" s="16" t="str">
        <x:f>IFERROR(INDEX('Compatibility Gates'!$B$4:$B$87,MATCH(C169,'Compatibility Gates'!$A$4:$A$87,0)),"UNKNOWN")</x:f>
        <x:v>material</x:v>
      </x:c>
      <x:c r="F169" s="16" t="str">
        <x:f>IFERROR(INDEX('Compatibility Gates'!$D$4:$D$87,MATCH(C169,'Compatibility Gates'!$A$4:$A$87,0)),"UNKNOWN")</x:f>
        <x:v>asa_structural_0p4</x:v>
      </x:c>
    </x:row>
    <x:row r="170">
      <x:c r="A170" s="20" t="str">
        <x:v>07A</x:v>
      </x:c>
      <x:c r="B170" s="20" t="str">
        <x:v>07A_ASA_mast_foot_first_article.3mf</x:v>
      </x:c>
      <x:c r="C170" s="20" t="str">
        <x:v>fixed_camera_fallback_architecture_released</x:v>
      </x:c>
      <x:c r="D170" s="20" t="str">
        <x:f>IFERROR(INDEX('Compatibility Gates'!$C$4:$C$87,MATCH(C170,'Compatibility Gates'!$A$4:$A$87,0)),"UNKNOWN")</x:f>
        <x:v>NOT_TESTED</x:v>
      </x:c>
      <x:c r="E170" s="20" t="str">
        <x:f>IFERROR(INDEX('Compatibility Gates'!$B$4:$B$87,MATCH(C170,'Compatibility Gates'!$A$4:$A$87,0)),"UNKNOWN")</x:f>
        <x:v>engineering_release</x:v>
      </x:c>
      <x:c r="F170" s="20" t="str">
        <x:f>IFERROR(INDEX('Compatibility Gates'!$D$4:$D$87,MATCH(C170,'Compatibility Gates'!$A$4:$A$87,0)),"UNKNOWN")</x:f>
        <x:v>camera_architecture_control</x:v>
      </x:c>
    </x:row>
    <x:row r="171">
      <x:c r="A171" s="16" t="str">
        <x:v>07A</x:v>
      </x:c>
      <x:c r="B171" s="16" t="str">
        <x:v>07A_ASA_mast_foot_first_article.3mf</x:v>
      </x:c>
      <x:c r="C171" s="16" t="str">
        <x:v>plus4_machine_confirmed</x:v>
      </x:c>
      <x:c r="D171" s="16" t="str">
        <x:f>IFERROR(INDEX('Compatibility Gates'!$C$4:$C$87,MATCH(C171,'Compatibility Gates'!$A$4:$A$87,0)),"UNKNOWN")</x:f>
        <x:v>PASS</x:v>
      </x:c>
      <x:c r="E171" s="16" t="str">
        <x:f>IFERROR(INDEX('Compatibility Gates'!$B$4:$B$87,MATCH(C171,'Compatibility Gates'!$A$4:$A$87,0)),"UNKNOWN")</x:f>
        <x:v>machine</x:v>
      </x:c>
      <x:c r="F171" s="16" t="str">
        <x:f>IFERROR(INDEX('Compatibility Gates'!$D$4:$D$87,MATCH(C171,'Compatibility Gates'!$A$4:$A$87,0)),"UNKNOWN")</x:f>
        <x:v>machine_configuration</x:v>
      </x:c>
    </x:row>
    <x:row r="172">
      <x:c r="A172" s="20" t="str">
        <x:v>07A</x:v>
      </x:c>
      <x:c r="B172" s="20" t="str">
        <x:v>07A_ASA_mast_foot_first_article.3mf</x:v>
      </x:c>
      <x:c r="C172" s="20" t="str">
        <x:v>plus4_protected_envelope_verified</x:v>
      </x:c>
      <x:c r="D172" s="20" t="str">
        <x:f>IFERROR(INDEX('Compatibility Gates'!$C$4:$C$87,MATCH(C172,'Compatibility Gates'!$A$4:$A$87,0)),"UNKNOWN")</x:f>
        <x:v>PASS</x:v>
      </x:c>
      <x:c r="E172" s="20" t="str">
        <x:f>IFERROR(INDEX('Compatibility Gates'!$B$4:$B$87,MATCH(C172,'Compatibility Gates'!$A$4:$A$87,0)),"UNKNOWN")</x:f>
        <x:v>machine</x:v>
      </x:c>
      <x:c r="F172" s="20" t="str">
        <x:f>IFERROR(INDEX('Compatibility Gates'!$D$4:$D$87,MATCH(C172,'Compatibility Gates'!$A$4:$A$87,0)),"UNKNOWN")</x:f>
        <x:v>machine_configuration</x:v>
      </x:c>
    </x:row>
    <x:row r="173">
      <x:c r="A173" s="16" t="str">
        <x:v>07A</x:v>
      </x:c>
      <x:c r="B173" s="16" t="str">
        <x:v>07A_ASA_mast_foot_first_article.3mf</x:v>
      </x:c>
      <x:c r="C173" s="16" t="str">
        <x:v>nozzle_0p4_confirmed</x:v>
      </x:c>
      <x:c r="D173" s="16" t="str">
        <x:f>IFERROR(INDEX('Compatibility Gates'!$C$4:$C$87,MATCH(C173,'Compatibility Gates'!$A$4:$A$87,0)),"UNKNOWN")</x:f>
        <x:v>PASS</x:v>
      </x:c>
      <x:c r="E173" s="16" t="str">
        <x:f>IFERROR(INDEX('Compatibility Gates'!$B$4:$B$87,MATCH(C173,'Compatibility Gates'!$A$4:$A$87,0)),"UNKNOWN")</x:f>
        <x:v>machine</x:v>
      </x:c>
      <x:c r="F173" s="16" t="str">
        <x:f>IFERROR(INDEX('Compatibility Gates'!$D$4:$D$87,MATCH(C173,'Compatibility Gates'!$A$4:$A$87,0)),"UNKNOWN")</x:f>
        <x:v>machine_configuration</x:v>
      </x:c>
    </x:row>
    <x:row r="174">
      <x:c r="A174" s="20" t="str">
        <x:v>07A</x:v>
      </x:c>
      <x:c r="B174" s="20" t="str">
        <x:v>07A_ASA_mast_foot_first_article.3mf</x:v>
      </x:c>
      <x:c r="C174" s="20" t="str">
        <x:v>asa_profile_calibrated</x:v>
      </x:c>
      <x:c r="D174" s="20" t="str">
        <x:f>IFERROR(INDEX('Compatibility Gates'!$C$4:$C$87,MATCH(C174,'Compatibility Gates'!$A$4:$A$87,0)),"UNKNOWN")</x:f>
        <x:v>NOT_TESTED</x:v>
      </x:c>
      <x:c r="E174" s="20" t="str">
        <x:f>IFERROR(INDEX('Compatibility Gates'!$B$4:$B$87,MATCH(C174,'Compatibility Gates'!$A$4:$A$87,0)),"UNKNOWN")</x:f>
        <x:v>material</x:v>
      </x:c>
      <x:c r="F174" s="20" t="str">
        <x:f>IFERROR(INDEX('Compatibility Gates'!$D$4:$D$87,MATCH(C174,'Compatibility Gates'!$A$4:$A$87,0)),"UNKNOWN")</x:f>
        <x:v>asa_structural_0p4</x:v>
      </x:c>
    </x:row>
    <x:row r="175">
      <x:c r="A175" s="16" t="str">
        <x:v>07A</x:v>
      </x:c>
      <x:c r="B175" s="16" t="str">
        <x:v>07A_ASA_mast_foot_first_article.3mf</x:v>
      </x:c>
      <x:c r="C175" s="16" t="str">
        <x:v>asa_mast_socket_coupon_pass</x:v>
      </x:c>
      <x:c r="D175" s="16" t="str">
        <x:f>IFERROR(INDEX('Compatibility Gates'!$C$4:$C$87,MATCH(C175,'Compatibility Gates'!$A$4:$A$87,0)),"UNKNOWN")</x:f>
        <x:v>NOT_TESTED</x:v>
      </x:c>
      <x:c r="E175" s="16" t="str">
        <x:f>IFERROR(INDEX('Compatibility Gates'!$B$4:$B$87,MATCH(C175,'Compatibility Gates'!$A$4:$A$87,0)),"UNKNOWN")</x:f>
        <x:v>coupon</x:v>
      </x:c>
      <x:c r="F175" s="16" t="str">
        <x:f>IFERROR(INDEX('Compatibility Gates'!$D$4:$D$87,MATCH(C175,'Compatibility Gates'!$A$4:$A$87,0)),"UNKNOWN")</x:f>
        <x:v>asa_structural_0p4</x:v>
      </x:c>
    </x:row>
    <x:row r="176">
      <x:c r="A176" s="20" t="str">
        <x:v>07A</x:v>
      </x:c>
      <x:c r="B176" s="20" t="str">
        <x:v>07A_ASA_mast_foot_first_article.3mf</x:v>
      </x:c>
      <x:c r="C176" s="20" t="str">
        <x:v>asa_m5_nut_coupon_pass</x:v>
      </x:c>
      <x:c r="D176" s="20" t="str">
        <x:f>IFERROR(INDEX('Compatibility Gates'!$C$4:$C$87,MATCH(C176,'Compatibility Gates'!$A$4:$A$87,0)),"UNKNOWN")</x:f>
        <x:v>NOT_TESTED</x:v>
      </x:c>
      <x:c r="E176" s="20" t="str">
        <x:f>IFERROR(INDEX('Compatibility Gates'!$B$4:$B$87,MATCH(C176,'Compatibility Gates'!$A$4:$A$87,0)),"UNKNOWN")</x:f>
        <x:v>coupon</x:v>
      </x:c>
      <x:c r="F176" s="20" t="str">
        <x:f>IFERROR(INDEX('Compatibility Gates'!$D$4:$D$87,MATCH(C176,'Compatibility Gates'!$A$4:$A$87,0)),"UNKNOWN")</x:f>
        <x:v>asa_structural_0p4</x:v>
      </x:c>
    </x:row>
    <x:row r="177">
      <x:c r="A177" s="16" t="str">
        <x:v>07A</x:v>
      </x:c>
      <x:c r="B177" s="16" t="str">
        <x:v>07A_ASA_mast_foot_first_article.3mf</x:v>
      </x:c>
      <x:c r="C177" s="16" t="str">
        <x:v>asa_m5_clearance_coupon_pass</x:v>
      </x:c>
      <x:c r="D177" s="16" t="str">
        <x:f>IFERROR(INDEX('Compatibility Gates'!$C$4:$C$87,MATCH(C177,'Compatibility Gates'!$A$4:$A$87,0)),"UNKNOWN")</x:f>
        <x:v>NOT_TESTED</x:v>
      </x:c>
      <x:c r="E177" s="16" t="str">
        <x:f>IFERROR(INDEX('Compatibility Gates'!$B$4:$B$87,MATCH(C177,'Compatibility Gates'!$A$4:$A$87,0)),"UNKNOWN")</x:f>
        <x:v>coupon</x:v>
      </x:c>
      <x:c r="F177" s="16" t="str">
        <x:f>IFERROR(INDEX('Compatibility Gates'!$D$4:$D$87,MATCH(C177,'Compatibility Gates'!$A$4:$A$87,0)),"UNKNOWN")</x:f>
        <x:v>asa_structural_0p4</x:v>
      </x:c>
    </x:row>
    <x:row r="178">
      <x:c r="A178" s="20" t="str">
        <x:v>07A</x:v>
      </x:c>
      <x:c r="B178" s="20" t="str">
        <x:v>07A_ASA_mast_foot_first_article.3mf</x:v>
      </x:c>
      <x:c r="C178" s="20" t="str">
        <x:v>geometry_matches_measurements</x:v>
      </x:c>
      <x:c r="D178" s="20" t="str">
        <x:f>IFERROR(INDEX('Compatibility Gates'!$C$4:$C$87,MATCH(C178,'Compatibility Gates'!$A$4:$A$87,0)),"UNKNOWN")</x:f>
        <x:v>NOT_TESTED</x:v>
      </x:c>
      <x:c r="E178" s="20" t="str">
        <x:f>IFERROR(INDEX('Compatibility Gates'!$B$4:$B$87,MATCH(C178,'Compatibility Gates'!$A$4:$A$87,0)),"UNKNOWN")</x:f>
        <x:v>release</x:v>
      </x:c>
      <x:c r="F178" s="20" t="str">
        <x:f>IFERROR(INDEX('Compatibility Gates'!$D$4:$D$87,MATCH(C178,'Compatibility Gates'!$A$4:$A$87,0)),"UNKNOWN")</x:f>
        <x:v>generated_geometry</x:v>
      </x:c>
    </x:row>
    <x:row r="179">
      <x:c r="A179" s="16" t="str">
        <x:v>07A</x:v>
      </x:c>
      <x:c r="B179" s="16" t="str">
        <x:v>07A_ASA_mast_foot_first_article.3mf</x:v>
      </x:c>
      <x:c r="C179" s="16" t="str">
        <x:v>qidi_studio_roundtrip_confirmed</x:v>
      </x:c>
      <x:c r="D179" s="16" t="str">
        <x:f>IFERROR(INDEX('Compatibility Gates'!$C$4:$C$87,MATCH(C179,'Compatibility Gates'!$A$4:$A$87,0)),"UNKNOWN")</x:f>
        <x:v>NOT_TESTED</x:v>
      </x:c>
      <x:c r="E179" s="16" t="str">
        <x:f>IFERROR(INDEX('Compatibility Gates'!$B$4:$B$87,MATCH(C179,'Compatibility Gates'!$A$4:$A$87,0)),"UNKNOWN")</x:f>
        <x:v>release</x:v>
      </x:c>
      <x:c r="F179" s="16" t="str">
        <x:f>IFERROR(INDEX('Compatibility Gates'!$D$4:$D$87,MATCH(C179,'Compatibility Gates'!$A$4:$A$87,0)),"UNKNOWN")</x:f>
        <x:v>all_active_profiles</x:v>
      </x:c>
    </x:row>
    <x:row r="180">
      <x:c r="A180" s="20" t="str">
        <x:v>07B</x:v>
      </x:c>
      <x:c r="B180" s="20" t="str">
        <x:v>07B_ASA_mast_foot_second.3mf</x:v>
      </x:c>
      <x:c r="C180" s="20" t="str">
        <x:v>fixed_camera_fallback_architecture_released</x:v>
      </x:c>
      <x:c r="D180" s="20" t="str">
        <x:f>IFERROR(INDEX('Compatibility Gates'!$C$4:$C$87,MATCH(C180,'Compatibility Gates'!$A$4:$A$87,0)),"UNKNOWN")</x:f>
        <x:v>NOT_TESTED</x:v>
      </x:c>
      <x:c r="E180" s="20" t="str">
        <x:f>IFERROR(INDEX('Compatibility Gates'!$B$4:$B$87,MATCH(C180,'Compatibility Gates'!$A$4:$A$87,0)),"UNKNOWN")</x:f>
        <x:v>engineering_release</x:v>
      </x:c>
      <x:c r="F180" s="20" t="str">
        <x:f>IFERROR(INDEX('Compatibility Gates'!$D$4:$D$87,MATCH(C180,'Compatibility Gates'!$A$4:$A$87,0)),"UNKNOWN")</x:f>
        <x:v>camera_architecture_control</x:v>
      </x:c>
    </x:row>
    <x:row r="181">
      <x:c r="A181" s="16" t="str">
        <x:v>07B</x:v>
      </x:c>
      <x:c r="B181" s="16" t="str">
        <x:v>07B_ASA_mast_foot_second.3mf</x:v>
      </x:c>
      <x:c r="C181" s="16" t="str">
        <x:v>plus4_machine_confirmed</x:v>
      </x:c>
      <x:c r="D181" s="16" t="str">
        <x:f>IFERROR(INDEX('Compatibility Gates'!$C$4:$C$87,MATCH(C181,'Compatibility Gates'!$A$4:$A$87,0)),"UNKNOWN")</x:f>
        <x:v>PASS</x:v>
      </x:c>
      <x:c r="E181" s="16" t="str">
        <x:f>IFERROR(INDEX('Compatibility Gates'!$B$4:$B$87,MATCH(C181,'Compatibility Gates'!$A$4:$A$87,0)),"UNKNOWN")</x:f>
        <x:v>machine</x:v>
      </x:c>
      <x:c r="F181" s="16" t="str">
        <x:f>IFERROR(INDEX('Compatibility Gates'!$D$4:$D$87,MATCH(C181,'Compatibility Gates'!$A$4:$A$87,0)),"UNKNOWN")</x:f>
        <x:v>machine_configuration</x:v>
      </x:c>
    </x:row>
    <x:row r="182">
      <x:c r="A182" s="20" t="str">
        <x:v>07B</x:v>
      </x:c>
      <x:c r="B182" s="20" t="str">
        <x:v>07B_ASA_mast_foot_second.3mf</x:v>
      </x:c>
      <x:c r="C182" s="20" t="str">
        <x:v>plus4_protected_envelope_verified</x:v>
      </x:c>
      <x:c r="D182" s="20" t="str">
        <x:f>IFERROR(INDEX('Compatibility Gates'!$C$4:$C$87,MATCH(C182,'Compatibility Gates'!$A$4:$A$87,0)),"UNKNOWN")</x:f>
        <x:v>PASS</x:v>
      </x:c>
      <x:c r="E182" s="20" t="str">
        <x:f>IFERROR(INDEX('Compatibility Gates'!$B$4:$B$87,MATCH(C182,'Compatibility Gates'!$A$4:$A$87,0)),"UNKNOWN")</x:f>
        <x:v>machine</x:v>
      </x:c>
      <x:c r="F182" s="20" t="str">
        <x:f>IFERROR(INDEX('Compatibility Gates'!$D$4:$D$87,MATCH(C182,'Compatibility Gates'!$A$4:$A$87,0)),"UNKNOWN")</x:f>
        <x:v>machine_configuration</x:v>
      </x:c>
    </x:row>
    <x:row r="183">
      <x:c r="A183" s="16" t="str">
        <x:v>07B</x:v>
      </x:c>
      <x:c r="B183" s="16" t="str">
        <x:v>07B_ASA_mast_foot_second.3mf</x:v>
      </x:c>
      <x:c r="C183" s="16" t="str">
        <x:v>nozzle_0p4_confirmed</x:v>
      </x:c>
      <x:c r="D183" s="16" t="str">
        <x:f>IFERROR(INDEX('Compatibility Gates'!$C$4:$C$87,MATCH(C183,'Compatibility Gates'!$A$4:$A$87,0)),"UNKNOWN")</x:f>
        <x:v>PASS</x:v>
      </x:c>
      <x:c r="E183" s="16" t="str">
        <x:f>IFERROR(INDEX('Compatibility Gates'!$B$4:$B$87,MATCH(C183,'Compatibility Gates'!$A$4:$A$87,0)),"UNKNOWN")</x:f>
        <x:v>machine</x:v>
      </x:c>
      <x:c r="F183" s="16" t="str">
        <x:f>IFERROR(INDEX('Compatibility Gates'!$D$4:$D$87,MATCH(C183,'Compatibility Gates'!$A$4:$A$87,0)),"UNKNOWN")</x:f>
        <x:v>machine_configuration</x:v>
      </x:c>
    </x:row>
    <x:row r="184">
      <x:c r="A184" s="20" t="str">
        <x:v>07B</x:v>
      </x:c>
      <x:c r="B184" s="20" t="str">
        <x:v>07B_ASA_mast_foot_second.3mf</x:v>
      </x:c>
      <x:c r="C184" s="20" t="str">
        <x:v>asa_profile_calibrated</x:v>
      </x:c>
      <x:c r="D184" s="20" t="str">
        <x:f>IFERROR(INDEX('Compatibility Gates'!$C$4:$C$87,MATCH(C184,'Compatibility Gates'!$A$4:$A$87,0)),"UNKNOWN")</x:f>
        <x:v>NOT_TESTED</x:v>
      </x:c>
      <x:c r="E184" s="20" t="str">
        <x:f>IFERROR(INDEX('Compatibility Gates'!$B$4:$B$87,MATCH(C184,'Compatibility Gates'!$A$4:$A$87,0)),"UNKNOWN")</x:f>
        <x:v>material</x:v>
      </x:c>
      <x:c r="F184" s="20" t="str">
        <x:f>IFERROR(INDEX('Compatibility Gates'!$D$4:$D$87,MATCH(C184,'Compatibility Gates'!$A$4:$A$87,0)),"UNKNOWN")</x:f>
        <x:v>asa_structural_0p4</x:v>
      </x:c>
    </x:row>
    <x:row r="185">
      <x:c r="A185" s="16" t="str">
        <x:v>07B</x:v>
      </x:c>
      <x:c r="B185" s="16" t="str">
        <x:v>07B_ASA_mast_foot_second.3mf</x:v>
      </x:c>
      <x:c r="C185" s="16" t="str">
        <x:v>asa_mast_socket_coupon_pass</x:v>
      </x:c>
      <x:c r="D185" s="16" t="str">
        <x:f>IFERROR(INDEX('Compatibility Gates'!$C$4:$C$87,MATCH(C185,'Compatibility Gates'!$A$4:$A$87,0)),"UNKNOWN")</x:f>
        <x:v>NOT_TESTED</x:v>
      </x:c>
      <x:c r="E185" s="16" t="str">
        <x:f>IFERROR(INDEX('Compatibility Gates'!$B$4:$B$87,MATCH(C185,'Compatibility Gates'!$A$4:$A$87,0)),"UNKNOWN")</x:f>
        <x:v>coupon</x:v>
      </x:c>
      <x:c r="F185" s="16" t="str">
        <x:f>IFERROR(INDEX('Compatibility Gates'!$D$4:$D$87,MATCH(C185,'Compatibility Gates'!$A$4:$A$87,0)),"UNKNOWN")</x:f>
        <x:v>asa_structural_0p4</x:v>
      </x:c>
    </x:row>
    <x:row r="186">
      <x:c r="A186" s="20" t="str">
        <x:v>07B</x:v>
      </x:c>
      <x:c r="B186" s="20" t="str">
        <x:v>07B_ASA_mast_foot_second.3mf</x:v>
      </x:c>
      <x:c r="C186" s="20" t="str">
        <x:v>asa_m5_nut_coupon_pass</x:v>
      </x:c>
      <x:c r="D186" s="20" t="str">
        <x:f>IFERROR(INDEX('Compatibility Gates'!$C$4:$C$87,MATCH(C186,'Compatibility Gates'!$A$4:$A$87,0)),"UNKNOWN")</x:f>
        <x:v>NOT_TESTED</x:v>
      </x:c>
      <x:c r="E186" s="20" t="str">
        <x:f>IFERROR(INDEX('Compatibility Gates'!$B$4:$B$87,MATCH(C186,'Compatibility Gates'!$A$4:$A$87,0)),"UNKNOWN")</x:f>
        <x:v>coupon</x:v>
      </x:c>
      <x:c r="F186" s="20" t="str">
        <x:f>IFERROR(INDEX('Compatibility Gates'!$D$4:$D$87,MATCH(C186,'Compatibility Gates'!$A$4:$A$87,0)),"UNKNOWN")</x:f>
        <x:v>asa_structural_0p4</x:v>
      </x:c>
    </x:row>
    <x:row r="187">
      <x:c r="A187" s="16" t="str">
        <x:v>07B</x:v>
      </x:c>
      <x:c r="B187" s="16" t="str">
        <x:v>07B_ASA_mast_foot_second.3mf</x:v>
      </x:c>
      <x:c r="C187" s="16" t="str">
        <x:v>asa_m5_clearance_coupon_pass</x:v>
      </x:c>
      <x:c r="D187" s="16" t="str">
        <x:f>IFERROR(INDEX('Compatibility Gates'!$C$4:$C$87,MATCH(C187,'Compatibility Gates'!$A$4:$A$87,0)),"UNKNOWN")</x:f>
        <x:v>NOT_TESTED</x:v>
      </x:c>
      <x:c r="E187" s="16" t="str">
        <x:f>IFERROR(INDEX('Compatibility Gates'!$B$4:$B$87,MATCH(C187,'Compatibility Gates'!$A$4:$A$87,0)),"UNKNOWN")</x:f>
        <x:v>coupon</x:v>
      </x:c>
      <x:c r="F187" s="16" t="str">
        <x:f>IFERROR(INDEX('Compatibility Gates'!$D$4:$D$87,MATCH(C187,'Compatibility Gates'!$A$4:$A$87,0)),"UNKNOWN")</x:f>
        <x:v>asa_structural_0p4</x:v>
      </x:c>
    </x:row>
    <x:row r="188">
      <x:c r="A188" s="20" t="str">
        <x:v>07B</x:v>
      </x:c>
      <x:c r="B188" s="20" t="str">
        <x:v>07B_ASA_mast_foot_second.3mf</x:v>
      </x:c>
      <x:c r="C188" s="20" t="str">
        <x:v>geometry_matches_measurements</x:v>
      </x:c>
      <x:c r="D188" s="20" t="str">
        <x:f>IFERROR(INDEX('Compatibility Gates'!$C$4:$C$87,MATCH(C188,'Compatibility Gates'!$A$4:$A$87,0)),"UNKNOWN")</x:f>
        <x:v>NOT_TESTED</x:v>
      </x:c>
      <x:c r="E188" s="20" t="str">
        <x:f>IFERROR(INDEX('Compatibility Gates'!$B$4:$B$87,MATCH(C188,'Compatibility Gates'!$A$4:$A$87,0)),"UNKNOWN")</x:f>
        <x:v>release</x:v>
      </x:c>
      <x:c r="F188" s="20" t="str">
        <x:f>IFERROR(INDEX('Compatibility Gates'!$D$4:$D$87,MATCH(C188,'Compatibility Gates'!$A$4:$A$87,0)),"UNKNOWN")</x:f>
        <x:v>generated_geometry</x:v>
      </x:c>
    </x:row>
    <x:row r="189">
      <x:c r="A189" s="16" t="str">
        <x:v>07B</x:v>
      </x:c>
      <x:c r="B189" s="16" t="str">
        <x:v>07B_ASA_mast_foot_second.3mf</x:v>
      </x:c>
      <x:c r="C189" s="16" t="str">
        <x:v>mast_foot_first_article_pass</x:v>
      </x:c>
      <x:c r="D189" s="16" t="str">
        <x:f>IFERROR(INDEX('Compatibility Gates'!$C$4:$C$87,MATCH(C189,'Compatibility Gates'!$A$4:$A$87,0)),"UNKNOWN")</x:f>
        <x:v>NOT_TESTED</x:v>
      </x:c>
      <x:c r="E189" s="16" t="str">
        <x:f>IFERROR(INDEX('Compatibility Gates'!$B$4:$B$87,MATCH(C189,'Compatibility Gates'!$A$4:$A$87,0)),"UNKNOWN")</x:f>
        <x:v>first_article</x:v>
      </x:c>
      <x:c r="F189" s="16" t="str">
        <x:f>IFERROR(INDEX('Compatibility Gates'!$D$4:$D$87,MATCH(C189,'Compatibility Gates'!$A$4:$A$87,0)),"UNKNOWN")</x:f>
        <x:v>asa_structural_0p4</x:v>
      </x:c>
    </x:row>
    <x:row r="190">
      <x:c r="A190" s="19" t="str">
        <x:v>07B</x:v>
      </x:c>
      <x:c r="B190" s="19" t="str">
        <x:v>07B_ASA_mast_foot_second.3mf</x:v>
      </x:c>
      <x:c r="C190" s="19" t="str">
        <x:v>qidi_studio_roundtrip_confirmed</x:v>
      </x:c>
      <x:c r="D190" s="19" t="str">
        <x:f>IFERROR(INDEX('Compatibility Gates'!$C$4:$C$87,MATCH(C190,'Compatibility Gates'!$A$4:$A$87,0)),"UNKNOWN")</x:f>
        <x:v>NOT_TESTED</x:v>
      </x:c>
      <x:c r="E190" s="19" t="str">
        <x:f>IFERROR(INDEX('Compatibility Gates'!$B$4:$B$87,MATCH(C190,'Compatibility Gates'!$A$4:$A$87,0)),"UNKNOWN")</x:f>
        <x:v>release</x:v>
      </x:c>
      <x:c r="F190" s="19" t="str">
        <x:f>IFERROR(INDEX('Compatibility Gates'!$D$4:$D$87,MATCH(C190,'Compatibility Gates'!$A$4:$A$87,0)),"UNKNOWN")</x:f>
        <x:v>all_active_profiles</x:v>
      </x:c>
    </x:row>
  </x:sheetData>
  <x:mergeCells>
    <x:mergeCell ref="A1:F1"/>
  </x:mergeCells>
  <x:conditionalFormatting sqref="D4:D190">
    <x:cfRule type="containsText" dxfId="16" priority="1" operator="containsText" text="PASS"/>
    <x:cfRule type="containsText" dxfId="17" priority="2" operator="containsText" text="READY"/>
    <x:cfRule type="containsText" dxfId="18" priority="3" operator="containsText" text="WAITING"/>
    <x:cfRule type="containsText" dxfId="19" priority="4" operator="containsText" text="NOT_TESTED"/>
    <x:cfRule type="containsText" dxfId="20" priority="5" operator="containsText" text="NOT_SELECTED"/>
    <x:cfRule type="containsText" dxfId="21" priority="6" operator="containsText" text="HOLD"/>
    <x:cfRule type="containsText" dxfId="22" priority="7" operator="containsText" text="OPEN"/>
    <x:cfRule type="containsText" dxfId="23" priority="8" operator="containsText" text="FAIL"/>
  </x:conditionalFormatting>
  <x:pageMargins left="0.7" right="0.7" top="0.75" bottom="0.75" header="0.3" footer="0.3"/>
  <x:tableParts count="1">
    <x:tablePart xmlns:r="http://schemas.openxmlformats.org/officeDocument/2006/relationships" r:id="R17d5cda45e5a47a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20" hidden="0" customWidth="1"/>
    <x:col min="4" max="4" width="12" hidden="0" customWidth="1"/>
    <x:col min="5" max="5" width="15" hidden="0" customWidth="1"/>
    <x:col min="6" max="6" width="31" hidden="0" customWidth="1"/>
    <x:col min="7" max="7" width="18" hidden="0" customWidth="1"/>
    <x:col min="8" max="8" width="11" hidden="0" customWidth="1"/>
    <x:col min="9" max="9" width="45" hidden="0" customWidth="1"/>
    <x:col min="10" max="10" width="10" hidden="0" customWidth="1"/>
    <x:col min="11" max="11" width="13" hidden="0" customWidth="1"/>
    <x:col min="12" max="12" width="58" hidden="0" customWidth="1"/>
    <x:col min="13" max="13" width="64" hidden="0" customWidth="1"/>
    <x:col min="14" max="14" width="20" hidden="0" customWidth="1"/>
    <x:col min="15" max="15" width="22" hidden="0" customWidth="1"/>
    <x:col min="16" max="16" width="34" hidden="0" customWidth="1"/>
    <x:col min="17" max="17" width="34" hidden="0" customWidth="1"/>
    <x:col min="18" max="18" width="54" hidden="0" customWidth="1"/>
    <x:col min="19" max="19" width="52" hidden="0" customWidth="1"/>
  </x:cols>
  <x:sheetData>
    <x:row r="1" ht="30" customHeight="1">
      <x:c r="A1" s="3" t="str">
        <x:v>ABS-Heavy Controlled Print Queue - exact per-job files and gate status</x:v>
      </x:c>
      <x:c r="B1" s="3"/>
      <x:c r="C1" s="3"/>
      <x:c r="D1" s="3"/>
      <x:c r="E1" s="3"/>
      <x:c r="F1" s="3"/>
      <x:c r="G1" s="3"/>
      <x:c r="H1" s="3"/>
      <x:c r="I1" s="3"/>
      <x:c r="J1" s="3"/>
      <x:c r="K1" s="3"/>
      <x:c r="L1" s="3"/>
      <x:c r="M1" s="3"/>
      <x:c r="N1" s="3"/>
      <x:c r="O1" s="3"/>
      <x:c r="P1" s="3"/>
      <x:c r="Q1" s="3"/>
      <x:c r="R1" s="3"/>
      <x:c r="S1" s="3"/>
    </x:row>
    <x:row r="3" ht="28" customHeight="1">
      <x:c r="A3" s="7" t="str">
        <x:v>Job</x:v>
      </x:c>
      <x:c r="B3" s="7" t="str">
        <x:v>Stage</x:v>
      </x:c>
      <x:c r="C3" s="7" t="str">
        <x:v>Selection</x:v>
      </x:c>
      <x:c r="D3" s="7" t="str">
        <x:v>Selected?</x:v>
      </x:c>
      <x:c r="E3" s="7" t="str">
        <x:v>Status</x:v>
      </x:c>
      <x:c r="F3" s="7" t="str">
        <x:v>Profile</x:v>
      </x:c>
      <x:c r="G3" s="7" t="str">
        <x:v>Material</x:v>
      </x:c>
      <x:c r="H3" s="7" t="str">
        <x:v>Layer mm</x:v>
      </x:c>
      <x:c r="I3" s="7" t="str">
        <x:v>Plate</x:v>
      </x:c>
      <x:c r="J3" s="7" t="str">
        <x:v>Objects</x:v>
      </x:c>
      <x:c r="K3" s="7" t="str">
        <x:v>Missing gates</x:v>
      </x:c>
      <x:c r="L3" s="7" t="str">
        <x:v>Missing gate IDs</x:v>
      </x:c>
      <x:c r="M3" s="7" t="str">
        <x:v>Purpose</x:v>
      </x:c>
      <x:c r="N3" s="7" t="str">
        <x:v>Lifecycle</x:v>
      </x:c>
      <x:c r="O3" s="7" t="str">
        <x:v>Kit</x:v>
      </x:c>
      <x:c r="P3" s="7" t="str">
        <x:v>Filament preset</x:v>
      </x:c>
      <x:c r="Q3" s="7" t="str">
        <x:v>Preset status</x:v>
      </x:c>
      <x:c r="R3" s="7" t="str">
        <x:v>Readable settings</x:v>
      </x:c>
      <x:c r="S3" s="7" t="str">
        <x:v>QIDI process file</x:v>
      </x:c>
    </x:row>
    <x:row r="4">
      <x:c r="A4" s="18" t="str">
        <x:v>00A</x:v>
      </x:c>
      <x:c r="B4" s="18" t="str">
        <x:v>diagnostic</x:v>
      </x:c>
      <x:c r="C4" s="18" t="str">
        <x:v>required</x:v>
      </x:c>
      <x:c r="D4" s="18" t="str">
        <x:v>YES</x:v>
      </x:c>
      <x:c r="E4" s="18" t="str">
        <x:v>READY</x:v>
      </x:c>
      <x:c r="F4" s="18" t="str">
        <x:v>abs_rapido_tray_structural_0p4</x:v>
      </x:c>
      <x:c r="G4" s="18" t="str">
        <x:v>QIDI ABS Rapido</x:v>
      </x:c>
      <x:c r="H4" s="21" t="n">
        <x:v>0.2</x:v>
      </x:c>
      <x:c r="I4" s="18" t="str">
        <x:v>00A_ABS_keyboard_station_fit_tests.3mf</x:v>
      </x:c>
      <x:c r="J4" s="25" t="n">
        <x:v>4</x:v>
      </x:c>
      <x:c r="K4" s="25" t="n">
        <x:v>0</x:v>
      </x:c>
      <x:c r="L4" s="18" t="str"/>
      <x:c r="M4" s="18" t="str">
        <x:v>ABS keyboard datum, board/seam locator, clearance, and washer qualification using the exact station profile</x:v>
      </x:c>
      <x:c r="N4" s="18" t="str">
        <x:v>READY_TO_SLICE</x:v>
      </x:c>
      <x:c r="O4" s="18" t="str">
        <x:v>KIT-CAL</x:v>
      </x:c>
      <x:c r="P4" s="18" t="str">
        <x:v>qidi_abs_rapido_xplus4_0p4</x:v>
      </x:c>
      <x:c r="Q4" s="18" t="str">
        <x:v>EXACT_REPRODUCIBLE</x:v>
      </x:c>
      <x:c r="R4" s="18" t="str">
        <x:v>00A_ABS_keyboard_station_fit_tests.PRINT_SETTINGS.md</x:v>
      </x:c>
      <x:c r="S4" s="18" t="str">
        <x:v>slicer_profiles/QIDI_PLUS4/abs_rapido_tray_structural_0p4.process.json</x:v>
      </x:c>
    </x:row>
    <x:row r="5">
      <x:c r="A5" s="16" t="str">
        <x:v>00B</x:v>
      </x:c>
      <x:c r="B5" s="16" t="str">
        <x:v>diagnostic</x:v>
      </x:c>
      <x:c r="C5" s="16" t="str">
        <x:v>required</x:v>
      </x:c>
      <x:c r="D5" s="16" t="str">
        <x:v>YES</x:v>
      </x:c>
      <x:c r="E5" s="16" t="str">
        <x:v>READY</x:v>
      </x:c>
      <x:c r="F5" s="16" t="str">
        <x:v>abs_rapido_cradle_0p4</x:v>
      </x:c>
      <x:c r="G5" s="16" t="str">
        <x:v>QIDI ABS Rapido</x:v>
      </x:c>
      <x:c r="H5" s="22" t="n">
        <x:v>0.2</x:v>
      </x:c>
      <x:c r="I5" s="16" t="str">
        <x:v>00B_ABS_phone_station_fit_tests.3mf</x:v>
      </x:c>
      <x:c r="J5" s="26" t="n">
        <x:v>6</x:v>
      </x:c>
      <x:c r="K5" s="26" t="n">
        <x:v>0</x:v>
      </x:c>
      <x:c r="L5" s="16" t="str"/>
      <x:c r="M5" s="16" t="str">
        <x:v>ABS phone fit, locator, captive M4 nut, profile-specific M3 insert, cable-saddle, and washer qualification using the exact service-station profile</x:v>
      </x:c>
      <x:c r="N5" s="16" t="str">
        <x:v>READY_TO_SLICE</x:v>
      </x:c>
      <x:c r="O5" s="16" t="str">
        <x:v>KIT-CAL</x:v>
      </x:c>
      <x:c r="P5" s="16" t="str">
        <x:v>qidi_abs_rapido_xplus4_0p4</x:v>
      </x:c>
      <x:c r="Q5" s="16" t="str">
        <x:v>EXACT_REPRODUCIBLE</x:v>
      </x:c>
      <x:c r="R5" s="16" t="str">
        <x:v>00B_ABS_phone_station_fit_tests.PRINT_SETTINGS.md</x:v>
      </x:c>
      <x:c r="S5" s="16" t="str">
        <x:v>slicer_profiles/QIDI_PLUS4/abs_rapido_cradle_0p4.process.json</x:v>
      </x:c>
    </x:row>
    <x:row r="6">
      <x:c r="A6" s="20" t="str">
        <x:v>00C</x:v>
      </x:c>
      <x:c r="B6" s="20" t="str">
        <x:v>diagnostic</x:v>
      </x:c>
      <x:c r="C6" s="20" t="str">
        <x:v>required</x:v>
      </x:c>
      <x:c r="D6" s="20" t="str">
        <x:v>YES</x:v>
      </x:c>
      <x:c r="E6" s="20" t="str">
        <x:v>READY</x:v>
      </x:c>
      <x:c r="F6" s="20" t="str">
        <x:v>abs_rapido_precision_0p4</x:v>
      </x:c>
      <x:c r="G6" s="20" t="str">
        <x:v>QIDI ABS Rapido</x:v>
      </x:c>
      <x:c r="H6" s="23" t="n">
        <x:v>0.16</x:v>
      </x:c>
      <x:c r="I6" s="20" t="str">
        <x:v>00C_ABS_tool_profile_fit_tests.3mf</x:v>
      </x:c>
      <x:c r="J6" s="27" t="n">
        <x:v>4</x:v>
      </x:c>
      <x:c r="K6" s="27" t="n">
        <x:v>0</x:v>
      </x:c>
      <x:c r="L6" s="20" t="str"/>
      <x:c r="M6" s="20" t="str">
        <x:v>ABS RoArm grip, stepped spring seat, profile-specific M3 insert, and M3 head tests using the exact tool profile</x:v>
      </x:c>
      <x:c r="N6" s="20" t="str">
        <x:v>READY_TO_SLICE</x:v>
      </x:c>
      <x:c r="O6" s="20" t="str">
        <x:v>KIT-CAL</x:v>
      </x:c>
      <x:c r="P6" s="20" t="str">
        <x:v>qidi_abs_rapido_xplus4_0p4</x:v>
      </x:c>
      <x:c r="Q6" s="20" t="str">
        <x:v>EXACT_REPRODUCIBLE</x:v>
      </x:c>
      <x:c r="R6" s="20" t="str">
        <x:v>00C_ABS_tool_profile_fit_tests.PRINT_SETTINGS.md</x:v>
      </x:c>
      <x:c r="S6" s="20" t="str">
        <x:v>slicer_profiles/QIDI_PLUS4/abs_rapido_precision_0p4.process.json</x:v>
      </x:c>
    </x:row>
    <x:row r="7">
      <x:c r="A7" s="16" t="str">
        <x:v>00D</x:v>
      </x:c>
      <x:c r="B7" s="16" t="str">
        <x:v>diagnostic</x:v>
      </x:c>
      <x:c r="C7" s="16" t="str">
        <x:v>phone_stylus_route</x:v>
      </x:c>
      <x:c r="D7" s="16" t="str">
        <x:v>YES</x:v>
      </x:c>
      <x:c r="E7" s="16" t="str">
        <x:v>WAITING</x:v>
      </x:c>
      <x:c r="F7" s="16" t="str">
        <x:v>petg_adapter_0p4</x:v>
      </x:c>
      <x:c r="G7" s="16" t="str">
        <x:v>PETG</x:v>
      </x:c>
      <x:c r="H7" s="22" t="n">
        <x:v>0.12</x:v>
      </x:c>
      <x:c r="I7" s="16" t="str">
        <x:v>00D_PETG_adapter_profile_fit_tests.3mf</x:v>
      </x:c>
      <x:c r="J7" s="26" t="n">
        <x:v>1</x:v>
      </x:c>
      <x:c r="K7" s="26" t="n">
        <x:v>1</x:v>
      </x:c>
      <x:c r="L7" s="16" t="str">
        <x:v>petg_adapter_profile_calibrated</x:v>
      </x:c>
      <x:c r="M7" s="16" t="str">
        <x:v>Phone-stylus-route sliding-fit qualification using the exact adapter profile</x:v>
      </x:c>
      <x:c r="N7" s="16" t="str">
        <x:v>UNRELEASED</x:v>
      </x:c>
      <x:c r="O7" s="16" t="str">
        <x:v>KIT-CAL</x:v>
      </x:c>
      <x:c r="P7" s="16" t="str">
        <x:v>exact_petg_spool_xplus4_0p4</x:v>
      </x:c>
      <x:c r="Q7" s="16" t="str">
        <x:v>EXACT_PROCESS_SPOOL_PRESET_REQUIRED</x:v>
      </x:c>
      <x:c r="R7" s="16" t="str">
        <x:v>00D_PETG_adapter_profile_fit_tests.PRINT_SETTINGS.md</x:v>
      </x:c>
      <x:c r="S7" s="16" t="str">
        <x:v>slicer_profiles/QIDI_PLUS4/petg_adapter_0p4.process.json</x:v>
      </x:c>
    </x:row>
    <x:row r="8">
      <x:c r="A8" s="20" t="str">
        <x:v>00E</x:v>
      </x:c>
      <x:c r="B8" s="20" t="str">
        <x:v>diagnostic</x:v>
      </x:c>
      <x:c r="C8" s="20" t="str">
        <x:v>required</x:v>
      </x:c>
      <x:c r="D8" s="20" t="str">
        <x:v>YES</x:v>
      </x:c>
      <x:c r="E8" s="20" t="str">
        <x:v>READY</x:v>
      </x:c>
      <x:c r="F8" s="20" t="str">
        <x:v>abs_rapido_general_0p4</x:v>
      </x:c>
      <x:c r="G8" s="20" t="str">
        <x:v>QIDI ABS Rapido</x:v>
      </x:c>
      <x:c r="H8" s="23" t="n">
        <x:v>0.2</x:v>
      </x:c>
      <x:c r="I8" s="20" t="str">
        <x:v>00E_ABS_general_setup_tests.3mf</x:v>
      </x:c>
      <x:c r="J8" s="27" t="n">
        <x:v>3</x:v>
      </x:c>
      <x:c r="K8" s="27" t="n">
        <x:v>0</x:v>
      </x:c>
      <x:c r="L8" s="20" t="str"/>
      <x:c r="M8" s="20" t="str">
        <x:v>ABS general clearance, screw-head, washer, camera-hex, and TPU-retention setup tests</x:v>
      </x:c>
      <x:c r="N8" s="20" t="str">
        <x:v>READY_TO_SLICE</x:v>
      </x:c>
      <x:c r="O8" s="20" t="str">
        <x:v>KIT-CAL</x:v>
      </x:c>
      <x:c r="P8" s="20" t="str">
        <x:v>qidi_abs_rapido_xplus4_0p4</x:v>
      </x:c>
      <x:c r="Q8" s="20" t="str">
        <x:v>EXACT_REPRODUCIBLE</x:v>
      </x:c>
      <x:c r="R8" s="20" t="str">
        <x:v>00E_ABS_general_setup_tests.PRINT_SETTINGS.md</x:v>
      </x:c>
      <x:c r="S8" s="20" t="str">
        <x:v>slicer_profiles/QIDI_PLUS4/abs_rapido_general_0p4.process.json</x:v>
      </x:c>
    </x:row>
    <x:row r="9">
      <x:c r="A9" s="16" t="str">
        <x:v>00F</x:v>
      </x:c>
      <x:c r="B9" s="16" t="str">
        <x:v>diagnostic</x:v>
      </x:c>
      <x:c r="C9" s="16" t="str">
        <x:v>required</x:v>
      </x:c>
      <x:c r="D9" s="16" t="str">
        <x:v>YES</x:v>
      </x:c>
      <x:c r="E9" s="16" t="str">
        <x:v>READY</x:v>
      </x:c>
      <x:c r="F9" s="16" t="str">
        <x:v>abs_rapido_calibration_0p4</x:v>
      </x:c>
      <x:c r="G9" s="16" t="str">
        <x:v>QIDI ABS Rapido</x:v>
      </x:c>
      <x:c r="H9" s="22" t="n">
        <x:v>0.16</x:v>
      </x:c>
      <x:c r="I9" s="16" t="str">
        <x:v>00F_ABS_calibration_profile_clearance_test.3mf</x:v>
      </x:c>
      <x:c r="J9" s="26" t="n">
        <x:v>2</x:v>
      </x:c>
      <x:c r="K9" s="26" t="n">
        <x:v>0</x:v>
      </x:c>
      <x:c r="L9" s="16" t="str"/>
      <x:c r="M9" s="16" t="str">
        <x:v>ABS M3 clearance and M3 button-head recess verification using the exact fine-layer calibration-puck profile</x:v>
      </x:c>
      <x:c r="N9" s="16" t="str">
        <x:v>READY_TO_SLICE</x:v>
      </x:c>
      <x:c r="O9" s="16" t="str">
        <x:v>KIT-CAL</x:v>
      </x:c>
      <x:c r="P9" s="16" t="str">
        <x:v>qidi_abs_rapido_xplus4_0p4</x:v>
      </x:c>
      <x:c r="Q9" s="16" t="str">
        <x:v>EXACT_REPRODUCIBLE</x:v>
      </x:c>
      <x:c r="R9" s="16" t="str">
        <x:v>00F_ABS_calibration_profile_clearance_test.PRINT_SETTINGS.md</x:v>
      </x:c>
      <x:c r="S9" s="16" t="str">
        <x:v>slicer_profiles/QIDI_PLUS4/abs_rapido_calibration_0p4.process.json</x:v>
      </x:c>
    </x:row>
    <x:row r="10">
      <x:c r="A10" s="20" t="str">
        <x:v>01</x:v>
      </x:c>
      <x:c r="B10" s="20" t="str">
        <x:v>first_article</x:v>
      </x:c>
      <x:c r="C10" s="20" t="str">
        <x:v>required</x:v>
      </x:c>
      <x:c r="D10" s="20" t="str">
        <x:v>YES</x:v>
      </x:c>
      <x:c r="E10" s="20" t="str">
        <x:v>WAITING</x:v>
      </x:c>
      <x:c r="F10" s="20" t="str">
        <x:v>abs_rapido_tray_structural_0p4</x:v>
      </x:c>
      <x:c r="G10" s="20" t="str">
        <x:v>QIDI ABS Rapido</x:v>
      </x:c>
      <x:c r="H10" s="23" t="n">
        <x:v>0.2</x:v>
      </x:c>
      <x:c r="I10" s="20" t="str">
        <x:v>01_ABS_keyboard_station_left.3mf</x:v>
      </x:c>
      <x:c r="J10" s="27" t="n">
        <x:v>1</x:v>
      </x:c>
      <x:c r="K10" s="27" t="n">
        <x:v>6</x:v>
      </x:c>
      <x:c r="L10" s="20" t="str">
        <x:v>keyboard_dimensions_measured; keyboard_corner_coupon_pass; keyboard_station_registration_coupon_pass; tray_clearance_holes_coupon_pass; geometry_matches_measurements; qidi_studio_roundtrip_confirmed</x:v>
      </x:c>
      <x:c r="M10" s="20" t="str">
        <x:v>ABS left master keyboard station with integrated datums, locator sockets, clamp track, and seam posts</x:v>
      </x:c>
      <x:c r="N10" s="20" t="str">
        <x:v>UNRELEASED</x:v>
      </x:c>
      <x:c r="O10" s="20" t="str">
        <x:v>KIT-KB</x:v>
      </x:c>
      <x:c r="P10" s="20" t="str">
        <x:v>qidi_abs_rapido_xplus4_0p4</x:v>
      </x:c>
      <x:c r="Q10" s="20" t="str">
        <x:v>EXACT_REPRODUCIBLE</x:v>
      </x:c>
      <x:c r="R10" s="20" t="str">
        <x:v>01_ABS_keyboard_station_left.PRINT_SETTINGS.md</x:v>
      </x:c>
      <x:c r="S10" s="20" t="str">
        <x:v>slicer_profiles/QIDI_PLUS4/abs_rapido_tray_structural_0p4.process.json</x:v>
      </x:c>
    </x:row>
    <x:row r="11">
      <x:c r="A11" s="16" t="str">
        <x:v>02</x:v>
      </x:c>
      <x:c r="B11" s="16" t="str">
        <x:v>production</x:v>
      </x:c>
      <x:c r="C11" s="16" t="str">
        <x:v>required</x:v>
      </x:c>
      <x:c r="D11" s="16" t="str">
        <x:v>YES</x:v>
      </x:c>
      <x:c r="E11" s="16" t="str">
        <x:v>WAITING</x:v>
      </x:c>
      <x:c r="F11" s="16" t="str">
        <x:v>abs_rapido_tray_structural_0p4</x:v>
      </x:c>
      <x:c r="G11" s="16" t="str">
        <x:v>QIDI ABS Rapido</x:v>
      </x:c>
      <x:c r="H11" s="22" t="n">
        <x:v>0.2</x:v>
      </x:c>
      <x:c r="I11" s="16" t="str">
        <x:v>02_ABS_keyboard_station_right.3mf</x:v>
      </x:c>
      <x:c r="J11" s="26" t="n">
        <x:v>1</x:v>
      </x:c>
      <x:c r="K11" s="26" t="n">
        <x:v>8</x:v>
      </x:c>
      <x:c r="L11" s="16" t="str">
        <x:v>keyboard_dimensions_measured; keyboard_corner_coupon_pass; keyboard_seam_coupon_pass; keyboard_station_registration_coupon_pass; tray_clearance_holes_coupon_pass; geometry_matches_measurements; keyboard_left_first_article_pass; qidi_studio_roundtrip_confirmed</x:v>
      </x:c>
      <x:c r="M11" s="16" t="str">
        <x:v>ABS right slave keyboard station located from the accepted left-station seam</x:v>
      </x:c>
      <x:c r="N11" s="16" t="str">
        <x:v>UNRELEASED</x:v>
      </x:c>
      <x:c r="O11" s="16" t="str">
        <x:v>KIT-KB</x:v>
      </x:c>
      <x:c r="P11" s="16" t="str">
        <x:v>qidi_abs_rapido_xplus4_0p4</x:v>
      </x:c>
      <x:c r="Q11" s="16" t="str">
        <x:v>EXACT_REPRODUCIBLE</x:v>
      </x:c>
      <x:c r="R11" s="16" t="str">
        <x:v>02_ABS_keyboard_station_right.PRINT_SETTINGS.md</x:v>
      </x:c>
      <x:c r="S11" s="16" t="str">
        <x:v>slicer_profiles/QIDI_PLUS4/abs_rapido_tray_structural_0p4.process.json</x:v>
      </x:c>
    </x:row>
    <x:row r="12">
      <x:c r="A12" s="20" t="str">
        <x:v>03A</x:v>
      </x:c>
      <x:c r="B12" s="20" t="str">
        <x:v>first_article</x:v>
      </x:c>
      <x:c r="C12" s="20" t="str">
        <x:v>required</x:v>
      </x:c>
      <x:c r="D12" s="20" t="str">
        <x:v>YES</x:v>
      </x:c>
      <x:c r="E12" s="20" t="str">
        <x:v>WAITING</x:v>
      </x:c>
      <x:c r="F12" s="20" t="str">
        <x:v>abs_rapido_cradle_0p4</x:v>
      </x:c>
      <x:c r="G12" s="20" t="str">
        <x:v>QIDI ABS Rapido</x:v>
      </x:c>
      <x:c r="H12" s="23" t="n">
        <x:v>0.2</x:v>
      </x:c>
      <x:c r="I12" s="20" t="str">
        <x:v>03A_ABS_phone_TCP_station.3mf</x:v>
      </x:c>
      <x:c r="J12" s="27" t="n">
        <x:v>1</x:v>
      </x:c>
      <x:c r="K12" s="27" t="n">
        <x:v>11</x:v>
      </x:c>
      <x:c r="L12" s="20" t="str">
        <x:v>phone_dimensions_measured; phone_side_features_measured; phone_cable_measured; phone_width_coupon_pass; phone_station_registration_coupon_pass; phone_m4_captive_nut_coupon_pass; phone_station_m3_insert_coupon_pass; cable_tie_saddle_coupon_pass; cradle_m4_washer_coupon_pass; geometry_matches_measurements; qidi_studio_roundtrip_confirmed</x:v>
      </x:c>
      <x:c r="M12" s="20" t="str">
        <x:v>Integrated ABS phone and TCP service station with fixed datums, keyed receiver, and replaceable-rail interface</x:v>
      </x:c>
      <x:c r="N12" s="20" t="str">
        <x:v>UNRELEASED</x:v>
      </x:c>
      <x:c r="O12" s="20" t="str">
        <x:v>KIT-PHONE</x:v>
      </x:c>
      <x:c r="P12" s="20" t="str">
        <x:v>qidi_abs_rapido_xplus4_0p4</x:v>
      </x:c>
      <x:c r="Q12" s="20" t="str">
        <x:v>EXACT_REPRODUCIBLE</x:v>
      </x:c>
      <x:c r="R12" s="20" t="str">
        <x:v>03A_ABS_phone_TCP_station.PRINT_SETTINGS.md</x:v>
      </x:c>
      <x:c r="S12" s="20" t="str">
        <x:v>slicer_profiles/QIDI_PLUS4/abs_rapido_cradle_0p4.process.json</x:v>
      </x:c>
    </x:row>
    <x:row r="13">
      <x:c r="A13" s="16" t="str">
        <x:v>03B</x:v>
      </x:c>
      <x:c r="B13" s="16" t="str">
        <x:v>production</x:v>
      </x:c>
      <x:c r="C13" s="16" t="str">
        <x:v>required</x:v>
      </x:c>
      <x:c r="D13" s="16" t="str">
        <x:v>YES</x:v>
      </x:c>
      <x:c r="E13" s="16" t="str">
        <x:v>WAITING</x:v>
      </x:c>
      <x:c r="F13" s="16" t="str">
        <x:v>abs_rapido_general_0p4</x:v>
      </x:c>
      <x:c r="G13" s="16" t="str">
        <x:v>QIDI ABS Rapido</x:v>
      </x:c>
      <x:c r="H13" s="22" t="n">
        <x:v>0.2</x:v>
      </x:c>
      <x:c r="I13" s="16" t="str">
        <x:v>03B_ABS_keyboard_clamps.3mf</x:v>
      </x:c>
      <x:c r="J13" s="26" t="n">
        <x:v>2</x:v>
      </x:c>
      <x:c r="K13" s="26" t="n">
        <x:v>6</x:v>
      </x:c>
      <x:c r="L13" s="16" t="str">
        <x:v>keyboard_dimensions_measured; keyboard_corner_coupon_pass; general_clearance_holes_coupon_pass; setup_hardware_coupon_pass; geometry_matches_measurements; qidi_studio_roundtrip_confirmed</x:v>
      </x:c>
      <x:c r="M13" s="16" t="str">
        <x:v>Two replaceable ABS guided keyboard rear clamp sliders</x:v>
      </x:c>
      <x:c r="N13" s="16" t="str">
        <x:v>UNRELEASED</x:v>
      </x:c>
      <x:c r="O13" s="16" t="str">
        <x:v>KIT-KB</x:v>
      </x:c>
      <x:c r="P13" s="16" t="str">
        <x:v>qidi_abs_rapido_xplus4_0p4</x:v>
      </x:c>
      <x:c r="Q13" s="16" t="str">
        <x:v>EXACT_REPRODUCIBLE</x:v>
      </x:c>
      <x:c r="R13" s="16" t="str">
        <x:v>03B_ABS_keyboard_clamps.PRINT_SETTINGS.md</x:v>
      </x:c>
      <x:c r="S13" s="16" t="str">
        <x:v>slicer_profiles/QIDI_PLUS4/abs_rapido_general_0p4.process.json</x:v>
      </x:c>
    </x:row>
    <x:row r="14">
      <x:c r="A14" s="20" t="str">
        <x:v>03C1</x:v>
      </x:c>
      <x:c r="B14" s="20" t="str">
        <x:v>first_article</x:v>
      </x:c>
      <x:c r="C14" s="20" t="str">
        <x:v>required</x:v>
      </x:c>
      <x:c r="D14" s="20" t="str">
        <x:v>YES</x:v>
      </x:c>
      <x:c r="E14" s="20" t="str">
        <x:v>WAITING</x:v>
      </x:c>
      <x:c r="F14" s="20" t="str">
        <x:v>abs_rapido_cradle_0p4</x:v>
      </x:c>
      <x:c r="G14" s="20" t="str">
        <x:v>QIDI ABS Rapido</x:v>
      </x:c>
      <x:c r="H14" s="23" t="n">
        <x:v>0.2</x:v>
      </x:c>
      <x:c r="I14" s="20" t="str">
        <x:v>03C1_ABS_phone_clamp_rail.3mf</x:v>
      </x:c>
      <x:c r="J14" s="27" t="n">
        <x:v>1</x:v>
      </x:c>
      <x:c r="K14" s="27" t="n">
        <x:v>7</x:v>
      </x:c>
      <x:c r="L14" s="20" t="str">
        <x:v>phone_dimensions_measured; phone_side_features_measured; phone_width_coupon_pass; phone_m4_captive_nut_coupon_pass; cradle_m4_washer_coupon_pass; geometry_matches_measurements; qidi_studio_roundtrip_confirmed</x:v>
      </x:c>
      <x:c r="M14" s="20" t="str">
        <x:v>Replaceable ABS phone keeper and clamp-tower rail for the integrated service station</x:v>
      </x:c>
      <x:c r="N14" s="20" t="str">
        <x:v>UNRELEASED</x:v>
      </x:c>
      <x:c r="O14" s="20" t="str">
        <x:v>KIT-PHONE</x:v>
      </x:c>
      <x:c r="P14" s="20" t="str">
        <x:v>qidi_abs_rapido_xplus4_0p4</x:v>
      </x:c>
      <x:c r="Q14" s="20" t="str">
        <x:v>EXACT_REPRODUCIBLE</x:v>
      </x:c>
      <x:c r="R14" s="20" t="str">
        <x:v>03C1_ABS_phone_clamp_rail.PRINT_SETTINGS.md</x:v>
      </x:c>
      <x:c r="S14" s="20" t="str">
        <x:v>slicer_profiles/QIDI_PLUS4/abs_rapido_cradle_0p4.process.json</x:v>
      </x:c>
    </x:row>
    <x:row r="15">
      <x:c r="A15" s="16" t="str">
        <x:v>03C2</x:v>
      </x:c>
      <x:c r="B15" s="16" t="str">
        <x:v>production</x:v>
      </x:c>
      <x:c r="C15" s="16" t="str">
        <x:v>required</x:v>
      </x:c>
      <x:c r="D15" s="16" t="str">
        <x:v>YES</x:v>
      </x:c>
      <x:c r="E15" s="16" t="str">
        <x:v>WAITING</x:v>
      </x:c>
      <x:c r="F15" s="16" t="str">
        <x:v>abs_rapido_general_0p4</x:v>
      </x:c>
      <x:c r="G15" s="16" t="str">
        <x:v>QIDI ABS Rapido</x:v>
      </x:c>
      <x:c r="H15" s="22" t="n">
        <x:v>0.2</x:v>
      </x:c>
      <x:c r="I15" s="16" t="str">
        <x:v>03C2_ABS_board_setup_tools.3mf</x:v>
      </x:c>
      <x:c r="J15" s="26" t="n">
        <x:v>1</x:v>
      </x:c>
      <x:c r="K15" s="26" t="n">
        <x:v>5</x:v>
      </x:c>
      <x:c r="L15" s="16" t="str">
        <x:v>tag_stock_measured; tag_artwork_scale_pass; board_setup_template_scale_pass; geometry_matches_measurements; qidi_studio_roundtrip_confirmed</x:v>
      </x:c>
      <x:c r="M15" s="16" t="str">
        <x:v>Reusable ABS 55 mm direct-tag application frame and board setup tooling</x:v>
      </x:c>
      <x:c r="N15" s="16" t="str">
        <x:v>UNRELEASED</x:v>
      </x:c>
      <x:c r="O15" s="16" t="str">
        <x:v>KIT-BOARD-SETUP</x:v>
      </x:c>
      <x:c r="P15" s="16" t="str">
        <x:v>qidi_abs_rapido_xplus4_0p4</x:v>
      </x:c>
      <x:c r="Q15" s="16" t="str">
        <x:v>EXACT_REPRODUCIBLE</x:v>
      </x:c>
      <x:c r="R15" s="16" t="str">
        <x:v>03C2_ABS_board_setup_tools.PRINT_SETTINGS.md</x:v>
      </x:c>
      <x:c r="S15" s="16" t="str">
        <x:v>slicer_profiles/QIDI_PLUS4/abs_rapido_general_0p4.process.json</x:v>
      </x:c>
    </x:row>
    <x:row r="16">
      <x:c r="A16" s="20" t="str">
        <x:v>03C3</x:v>
      </x:c>
      <x:c r="B16" s="20" t="str">
        <x:v>production</x:v>
      </x:c>
      <x:c r="C16" s="20" t="str">
        <x:v>camera_mast_optional</x:v>
      </x:c>
      <x:c r="D16" s="20" t="str">
        <x:v>NO</x:v>
      </x:c>
      <x:c r="E16" s="20" t="str">
        <x:v>NOT_SELECTED</x:v>
      </x:c>
      <x:c r="F16" s="20" t="str">
        <x:v>petg_general_0p4</x:v>
      </x:c>
      <x:c r="G16" s="20" t="str">
        <x:v>PETG</x:v>
      </x:c>
      <x:c r="H16" s="23" t="n">
        <x:v>0.2</x:v>
      </x:c>
      <x:c r="I16" s="20" t="str">
        <x:v>03C3_PETG_camera_plate.3mf</x:v>
      </x:c>
      <x:c r="J16" s="27" t="n">
        <x:v>1</x:v>
      </x:c>
      <x:c r="K16" s="27" t="n">
        <x:v>7</x:v>
      </x:c>
      <x:c r="L16" s="20" t="str">
        <x:v>fixed_camera_fallback_architecture_released; petg_general_profile_calibrated; camera_mount_interface_measured; general_clearance_holes_coupon_pass; setup_hardware_coupon_pass; geometry_matches_measurements; qidi_studio_roundtrip_confirmed</x:v>
      </x:c>
      <x:c r="M16" s="20" t="str">
        <x:v>Fixed-mast fallback camera plate; not an arm-camera adapter and not released while the camera architecture hold is open</x:v>
      </x:c>
      <x:c r="N16" s="20" t="str">
        <x:v>NOT_SELECTED</x:v>
      </x:c>
      <x:c r="O16" s="20" t="str">
        <x:v>KIT-VISION-CAM</x:v>
      </x:c>
      <x:c r="P16" s="20" t="str">
        <x:v>exact_petg_spool_xplus4_0p4</x:v>
      </x:c>
      <x:c r="Q16" s="20" t="str">
        <x:v>EXACT_PROCESS_SPOOL_PRESET_REQUIRED</x:v>
      </x:c>
      <x:c r="R16" s="20" t="str">
        <x:v>03C3_PETG_camera_plate.PRINT_SETTINGS.md</x:v>
      </x:c>
      <x:c r="S16" s="20" t="str">
        <x:v>slicer_profiles/QIDI_PLUS4/petg_general_0p4.process.json</x:v>
      </x:c>
    </x:row>
    <x:row r="17">
      <x:c r="A17" s="16" t="str">
        <x:v>03D</x:v>
      </x:c>
      <x:c r="B17" s="16" t="str">
        <x:v>first_article</x:v>
      </x:c>
      <x:c r="C17" s="16" t="str">
        <x:v>required</x:v>
      </x:c>
      <x:c r="D17" s="16" t="str">
        <x:v>YES</x:v>
      </x:c>
      <x:c r="E17" s="16" t="str">
        <x:v>WAITING</x:v>
      </x:c>
      <x:c r="F17" s="16" t="str">
        <x:v>abs_rapido_calibration_0p4</x:v>
      </x:c>
      <x:c r="G17" s="16" t="str">
        <x:v>QIDI ABS Rapido</x:v>
      </x:c>
      <x:c r="H17" s="22" t="n">
        <x:v>0.16</x:v>
      </x:c>
      <x:c r="I17" s="16" t="str">
        <x:v>03D_ABS_TCP_datum_cartridges.3mf</x:v>
      </x:c>
      <x:c r="J17" s="26" t="n">
        <x:v>2</x:v>
      </x:c>
      <x:c r="K17" s="26" t="n">
        <x:v>4</x:v>
      </x:c>
      <x:c r="L17" s="16" t="str">
        <x:v>calibration_clearance_holes_coupon_pass; phone_station_registration_coupon_pass; geometry_matches_measurements; qidi_studio_roundtrip_confirmed</x:v>
      </x:c>
      <x:c r="M17" s="16" t="str">
        <x:v>Two keyed ABS TCP datum cartridges: one selected INSTALL datum and one qualified recalibration-required SPARE</x:v>
      </x:c>
      <x:c r="N17" s="16" t="str">
        <x:v>UNRELEASED</x:v>
      </x:c>
      <x:c r="O17" s="16" t="str">
        <x:v>KIT-PUCK</x:v>
      </x:c>
      <x:c r="P17" s="16" t="str">
        <x:v>qidi_abs_rapido_xplus4_0p4</x:v>
      </x:c>
      <x:c r="Q17" s="16" t="str">
        <x:v>EXACT_REPRODUCIBLE</x:v>
      </x:c>
      <x:c r="R17" s="16" t="str">
        <x:v>03D_ABS_TCP_datum_cartridges.PRINT_SETTINGS.md</x:v>
      </x:c>
      <x:c r="S17" s="16" t="str">
        <x:v>slicer_profiles/QIDI_PLUS4/abs_rapido_calibration_0p4.process.json</x:v>
      </x:c>
    </x:row>
    <x:row r="18">
      <x:c r="A18" s="20" t="str">
        <x:v>04A</x:v>
      </x:c>
      <x:c r="B18" s="20" t="str">
        <x:v>route</x:v>
      </x:c>
      <x:c r="C18" s="20" t="str">
        <x:v>any_tool_route</x:v>
      </x:c>
      <x:c r="D18" s="20" t="str">
        <x:v>YES</x:v>
      </x:c>
      <x:c r="E18" s="20" t="str">
        <x:v>WAITING</x:v>
      </x:c>
      <x:c r="F18" s="20" t="str">
        <x:v>abs_rapido_precision_0p4</x:v>
      </x:c>
      <x:c r="G18" s="20" t="str">
        <x:v>QIDI ABS Rapido</x:v>
      </x:c>
      <x:c r="H18" s="23" t="n">
        <x:v>0.16</x:v>
      </x:c>
      <x:c r="I18" s="20" t="str">
        <x:v>04A_ABS_shared_compliant_tool.3mf</x:v>
      </x:c>
      <x:c r="J18" s="27" t="n">
        <x:v>3</x:v>
      </x:c>
      <x:c r="K18" s="27" t="n">
        <x:v>8</x:v>
      </x:c>
      <x:c r="L18" s="20" t="str">
        <x:v>compliant_tool_m3_insert_coupon_pass; gripper_interface_measured; gripper_coupon_pass; spring_dimensions_measured; spring_fit_coupon_pass; precision_m3_head_coupon_pass; geometry_matches_measurements; qidi_studio_roundtrip_confirmed</x:v>
      </x:c>
      <x:c r="M18" s="20" t="str">
        <x:v>Shared ABS compliant tool body with keyed cap and one spare cap</x:v>
      </x:c>
      <x:c r="N18" s="20" t="str">
        <x:v>UNRELEASED</x:v>
      </x:c>
      <x:c r="O18" s="20" t="str">
        <x:v>KIT-TOOL-COMMON</x:v>
      </x:c>
      <x:c r="P18" s="20" t="str">
        <x:v>qidi_abs_rapido_xplus4_0p4</x:v>
      </x:c>
      <x:c r="Q18" s="20" t="str">
        <x:v>EXACT_REPRODUCIBLE</x:v>
      </x:c>
      <x:c r="R18" s="20" t="str">
        <x:v>04A_ABS_shared_compliant_tool.PRINT_SETTINGS.md</x:v>
      </x:c>
      <x:c r="S18" s="20" t="str">
        <x:v>slicer_profiles/QIDI_PLUS4/abs_rapido_precision_0p4.process.json</x:v>
      </x:c>
    </x:row>
    <x:row r="19">
      <x:c r="A19" s="16" t="str">
        <x:v>04B</x:v>
      </x:c>
      <x:c r="B19" s="16" t="str">
        <x:v>route</x:v>
      </x:c>
      <x:c r="C19" s="16" t="str">
        <x:v>phone_stylus_route</x:v>
      </x:c>
      <x:c r="D19" s="16" t="str">
        <x:v>YES</x:v>
      </x:c>
      <x:c r="E19" s="16" t="str">
        <x:v>WAITING</x:v>
      </x:c>
      <x:c r="F19" s="16" t="str">
        <x:v>petg_adapter_0p4</x:v>
      </x:c>
      <x:c r="G19" s="16" t="str">
        <x:v>PETG</x:v>
      </x:c>
      <x:c r="H19" s="22" t="n">
        <x:v>0.12</x:v>
      </x:c>
      <x:c r="I19" s="16" t="str">
        <x:v>04B_PETG_phone_stylus_adapters.3mf</x:v>
      </x:c>
      <x:c r="J19" s="26" t="n">
        <x:v>2</x:v>
      </x:c>
      <x:c r="K19" s="26" t="n">
        <x:v>5</x:v>
      </x:c>
      <x:c r="L19" s="16" t="str">
        <x:v>petg_adapter_profile_calibrated; stylus_diameter_measured; stylus_gauge_coupon_pass; adapter_retention_method_selected; qidi_studio_roundtrip_confirmed</x:v>
      </x:c>
      <x:c r="M19" s="16" t="str">
        <x:v>Two phone-route stylus collars for thin-wall retention qualification and one spare</x:v>
      </x:c>
      <x:c r="N19" s="16" t="str">
        <x:v>UNRELEASED</x:v>
      </x:c>
      <x:c r="O19" s="16" t="str">
        <x:v>KIT-TOOL-PHONE</x:v>
      </x:c>
      <x:c r="P19" s="16" t="str">
        <x:v>exact_petg_spool_xplus4_0p4</x:v>
      </x:c>
      <x:c r="Q19" s="16" t="str">
        <x:v>EXACT_PROCESS_SPOOL_PRESET_REQUIRED</x:v>
      </x:c>
      <x:c r="R19" s="16" t="str">
        <x:v>04B_PETG_phone_stylus_adapters.PRINT_SETTINGS.md</x:v>
      </x:c>
      <x:c r="S19" s="16" t="str">
        <x:v>slicer_profiles/QIDI_PLUS4/petg_adapter_0p4.process.json</x:v>
      </x:c>
    </x:row>
    <x:row r="20">
      <x:c r="A20" s="20" t="str">
        <x:v>04C</x:v>
      </x:c>
      <x:c r="B20" s="20" t="str">
        <x:v>route</x:v>
      </x:c>
      <x:c r="C20" s="20" t="str">
        <x:v>keyboard_rod_route</x:v>
      </x:c>
      <x:c r="D20" s="20" t="str">
        <x:v>YES</x:v>
      </x:c>
      <x:c r="E20" s="20" t="str">
        <x:v>WAITING</x:v>
      </x:c>
      <x:c r="F20" s="20" t="str">
        <x:v>petg_adapter_0p4</x:v>
      </x:c>
      <x:c r="G20" s="20" t="str">
        <x:v>PETG</x:v>
      </x:c>
      <x:c r="H20" s="23" t="n">
        <x:v>0.12</x:v>
      </x:c>
      <x:c r="I20" s="20" t="str">
        <x:v>04C_PETG_keyboard_rod_adapters.3mf</x:v>
      </x:c>
      <x:c r="J20" s="27" t="n">
        <x:v>2</x:v>
      </x:c>
      <x:c r="K20" s="27" t="n">
        <x:v>5</x:v>
      </x:c>
      <x:c r="L20" s="20" t="str">
        <x:v>petg_adapter_profile_calibrated; keyboard_rod_measured; adapter_retention_method_selected; geometry_matches_measurements; qidi_studio_roundtrip_confirmed</x:v>
      </x:c>
      <x:c r="M20" s="20" t="str">
        <x:v>Two keyboard-route rod bushings for retention qualification and one spare</x:v>
      </x:c>
      <x:c r="N20" s="20" t="str">
        <x:v>UNRELEASED</x:v>
      </x:c>
      <x:c r="O20" s="20" t="str">
        <x:v>KIT-TOOL-KB</x:v>
      </x:c>
      <x:c r="P20" s="20" t="str">
        <x:v>exact_petg_spool_xplus4_0p4</x:v>
      </x:c>
      <x:c r="Q20" s="20" t="str">
        <x:v>EXACT_PROCESS_SPOOL_PRESET_REQUIRED</x:v>
      </x:c>
      <x:c r="R20" s="20" t="str">
        <x:v>04C_PETG_keyboard_rod_adapters.PRINT_SETTINGS.md</x:v>
      </x:c>
      <x:c r="S20" s="20" t="str">
        <x:v>slicer_profiles/QIDI_PLUS4/petg_adapter_0p4.process.json</x:v>
      </x:c>
    </x:row>
    <x:row r="21">
      <x:c r="A21" s="16" t="str">
        <x:v>05A</x:v>
      </x:c>
      <x:c r="B21" s="16" t="str">
        <x:v>first_article</x:v>
      </x:c>
      <x:c r="C21" s="16" t="str">
        <x:v>required</x:v>
      </x:c>
      <x:c r="D21" s="16" t="str">
        <x:v>YES</x:v>
      </x:c>
      <x:c r="E21" s="16" t="str">
        <x:v>WAITING</x:v>
      </x:c>
      <x:c r="F21" s="16" t="str">
        <x:v>tpu95a_0p4</x:v>
      </x:c>
      <x:c r="G21" s="16" t="str">
        <x:v>TPU 95A</x:v>
      </x:c>
      <x:c r="H21" s="22" t="n">
        <x:v>0.16</x:v>
      </x:c>
      <x:c r="I21" s="16" t="str">
        <x:v>05A_TPU_phone_tip_first_article.3mf</x:v>
      </x:c>
      <x:c r="J21" s="26" t="n">
        <x:v>1</x:v>
      </x:c>
      <x:c r="K21" s="26" t="n">
        <x:v>2</x:v>
      </x:c>
      <x:c r="L21" s="16" t="str">
        <x:v>tpu_profile_calibrated; qidi_studio_roundtrip_confirmed</x:v>
      </x:c>
      <x:c r="M21" s="16" t="str">
        <x:v>One phone TPU tip for dimensional and pull-off acceptance</x:v>
      </x:c>
      <x:c r="N21" s="16" t="str">
        <x:v>UNRELEASED</x:v>
      </x:c>
      <x:c r="O21" s="16" t="str">
        <x:v>KIT-PHONE</x:v>
      </x:c>
      <x:c r="P21" s="16" t="str">
        <x:v>exact_tpu95a_spool_xplus4_0p4</x:v>
      </x:c>
      <x:c r="Q21" s="16" t="str">
        <x:v>EXACT_PROCESS_SPOOL_PRESET_REQUIRED</x:v>
      </x:c>
      <x:c r="R21" s="16" t="str">
        <x:v>05A_TPU_phone_tip_first_article.PRINT_SETTINGS.md</x:v>
      </x:c>
      <x:c r="S21" s="16" t="str">
        <x:v>slicer_profiles/QIDI_PLUS4/tpu95a_0p4.process.json</x:v>
      </x:c>
    </x:row>
    <x:row r="22">
      <x:c r="A22" s="20" t="str">
        <x:v>05B</x:v>
      </x:c>
      <x:c r="B22" s="20" t="str">
        <x:v>production</x:v>
      </x:c>
      <x:c r="C22" s="20" t="str">
        <x:v>required</x:v>
      </x:c>
      <x:c r="D22" s="20" t="str">
        <x:v>YES</x:v>
      </x:c>
      <x:c r="E22" s="20" t="str">
        <x:v>WAITING</x:v>
      </x:c>
      <x:c r="F22" s="20" t="str">
        <x:v>tpu95a_0p4</x:v>
      </x:c>
      <x:c r="G22" s="20" t="str">
        <x:v>TPU 95A</x:v>
      </x:c>
      <x:c r="H22" s="23" t="n">
        <x:v>0.16</x:v>
      </x:c>
      <x:c r="I22" s="20" t="str">
        <x:v>05B_TPU_phone_tips_and_spares.3mf</x:v>
      </x:c>
      <x:c r="J22" s="27" t="n">
        <x:v>3</x:v>
      </x:c>
      <x:c r="K22" s="27" t="n">
        <x:v>3</x:v>
      </x:c>
      <x:c r="L22" s="20" t="str">
        <x:v>tpu_profile_calibrated; phone_tpu_retention_coupon_pass; qidi_studio_roundtrip_confirmed</x:v>
      </x:c>
      <x:c r="M22" s="20" t="str">
        <x:v>Three additional phone TPU tips, yielding two installed and two total spares</x:v>
      </x:c>
      <x:c r="N22" s="20" t="str">
        <x:v>UNRELEASED</x:v>
      </x:c>
      <x:c r="O22" s="20" t="str">
        <x:v>KIT-PHONE</x:v>
      </x:c>
      <x:c r="P22" s="20" t="str">
        <x:v>exact_tpu95a_spool_xplus4_0p4</x:v>
      </x:c>
      <x:c r="Q22" s="20" t="str">
        <x:v>EXACT_PROCESS_SPOOL_PRESET_REQUIRED</x:v>
      </x:c>
      <x:c r="R22" s="20" t="str">
        <x:v>05B_TPU_phone_tips_and_spares.PRINT_SETTINGS.md</x:v>
      </x:c>
      <x:c r="S22" s="20" t="str">
        <x:v>slicer_profiles/QIDI_PLUS4/tpu95a_0p4.process.json</x:v>
      </x:c>
    </x:row>
    <x:row r="23">
      <x:c r="A23" s="16" t="str">
        <x:v>05C</x:v>
      </x:c>
      <x:c r="B23" s="16" t="str">
        <x:v>first_article</x:v>
      </x:c>
      <x:c r="C23" s="16" t="str">
        <x:v>keyboard_rod_route</x:v>
      </x:c>
      <x:c r="D23" s="16" t="str">
        <x:v>YES</x:v>
      </x:c>
      <x:c r="E23" s="16" t="str">
        <x:v>WAITING</x:v>
      </x:c>
      <x:c r="F23" s="16" t="str">
        <x:v>tpu95a_0p4</x:v>
      </x:c>
      <x:c r="G23" s="16" t="str">
        <x:v>TPU 95A</x:v>
      </x:c>
      <x:c r="H23" s="22" t="n">
        <x:v>0.16</x:v>
      </x:c>
      <x:c r="I23" s="16" t="str">
        <x:v>05C_TPU_keyboard_tip_first_article.3mf</x:v>
      </x:c>
      <x:c r="J23" s="26" t="n">
        <x:v>1</x:v>
      </x:c>
      <x:c r="K23" s="26" t="n">
        <x:v>3</x:v>
      </x:c>
      <x:c r="L23" s="16" t="str">
        <x:v>tpu_profile_calibrated; keyboard_rod_measured; qidi_studio_roundtrip_confirmed</x:v>
      </x:c>
      <x:c r="M23" s="16" t="str">
        <x:v>One keyboard TPU tip for dimensional and pull-off acceptance</x:v>
      </x:c>
      <x:c r="N23" s="16" t="str">
        <x:v>UNRELEASED</x:v>
      </x:c>
      <x:c r="O23" s="16" t="str">
        <x:v>KIT-TOOL-KB</x:v>
      </x:c>
      <x:c r="P23" s="16" t="str">
        <x:v>exact_tpu95a_spool_xplus4_0p4</x:v>
      </x:c>
      <x:c r="Q23" s="16" t="str">
        <x:v>EXACT_PROCESS_SPOOL_PRESET_REQUIRED</x:v>
      </x:c>
      <x:c r="R23" s="16" t="str">
        <x:v>05C_TPU_keyboard_tip_first_article.PRINT_SETTINGS.md</x:v>
      </x:c>
      <x:c r="S23" s="16" t="str">
        <x:v>slicer_profiles/QIDI_PLUS4/tpu95a_0p4.process.json</x:v>
      </x:c>
    </x:row>
    <x:row r="24">
      <x:c r="A24" s="20" t="str">
        <x:v>05D</x:v>
      </x:c>
      <x:c r="B24" s="20" t="str">
        <x:v>production</x:v>
      </x:c>
      <x:c r="C24" s="20" t="str">
        <x:v>keyboard_rod_route</x:v>
      </x:c>
      <x:c r="D24" s="20" t="str">
        <x:v>YES</x:v>
      </x:c>
      <x:c r="E24" s="20" t="str">
        <x:v>WAITING</x:v>
      </x:c>
      <x:c r="F24" s="20" t="str">
        <x:v>tpu95a_0p4</x:v>
      </x:c>
      <x:c r="G24" s="20" t="str">
        <x:v>TPU 95A</x:v>
      </x:c>
      <x:c r="H24" s="23" t="n">
        <x:v>0.16</x:v>
      </x:c>
      <x:c r="I24" s="20" t="str">
        <x:v>05D_TPU_keyboard_tips_and_spares.3mf</x:v>
      </x:c>
      <x:c r="J24" s="27" t="n">
        <x:v>3</x:v>
      </x:c>
      <x:c r="K24" s="27" t="n">
        <x:v>4</x:v>
      </x:c>
      <x:c r="L24" s="20" t="str">
        <x:v>tpu_profile_calibrated; keyboard_rod_measured; keyboard_tpu_retention_coupon_pass; qidi_studio_roundtrip_confirmed</x:v>
      </x:c>
      <x:c r="M24" s="20" t="str">
        <x:v>Three additional keyboard TPU tips, yielding two installed and two total spares</x:v>
      </x:c>
      <x:c r="N24" s="20" t="str">
        <x:v>UNRELEASED</x:v>
      </x:c>
      <x:c r="O24" s="20" t="str">
        <x:v>KIT-TOOL-KB</x:v>
      </x:c>
      <x:c r="P24" s="20" t="str">
        <x:v>exact_tpu95a_spool_xplus4_0p4</x:v>
      </x:c>
      <x:c r="Q24" s="20" t="str">
        <x:v>EXACT_PROCESS_SPOOL_PRESET_REQUIRED</x:v>
      </x:c>
      <x:c r="R24" s="20" t="str">
        <x:v>05D_TPU_keyboard_tips_and_spares.PRINT_SETTINGS.md</x:v>
      </x:c>
      <x:c r="S24" s="20" t="str">
        <x:v>slicer_profiles/QIDI_PLUS4/tpu95a_0p4.process.json</x:v>
      </x:c>
    </x:row>
    <x:row r="25">
      <x:c r="A25" s="16" t="str">
        <x:v>06</x:v>
      </x:c>
      <x:c r="B25" s="16" t="str">
        <x:v>diagnostic</x:v>
      </x:c>
      <x:c r="C25" s="16" t="str">
        <x:v>camera_mast_optional</x:v>
      </x:c>
      <x:c r="D25" s="16" t="str">
        <x:v>NO</x:v>
      </x:c>
      <x:c r="E25" s="16" t="str">
        <x:v>NOT_SELECTED</x:v>
      </x:c>
      <x:c r="F25" s="16" t="str">
        <x:v>asa_structural_0p4</x:v>
      </x:c>
      <x:c r="G25" s="16" t="str">
        <x:v>ASA</x:v>
      </x:c>
      <x:c r="H25" s="22" t="n">
        <x:v>0.24</x:v>
      </x:c>
      <x:c r="I25" s="16" t="str">
        <x:v>06_ASA_mast_fit_tests.3mf</x:v>
      </x:c>
      <x:c r="J25" s="26" t="n">
        <x:v>2</x:v>
      </x:c>
      <x:c r="K25" s="26" t="n">
        <x:v>2</x:v>
      </x:c>
      <x:c r="L25" s="16" t="str">
        <x:v>fixed_camera_fallback_architecture_released; asa_profile_calibrated</x:v>
      </x:c>
      <x:c r="M25" s="16" t="str">
        <x:v>Fixed-mast fallback 2020 socket and production-axis M5 nut/clearance/washer tests; blocked until the fallback architecture is explicitly released</x:v>
      </x:c>
      <x:c r="N25" s="16" t="str">
        <x:v>NOT_SELECTED</x:v>
      </x:c>
      <x:c r="O25" s="16" t="str">
        <x:v>KIT-MAST</x:v>
      </x:c>
      <x:c r="P25" s="16" t="str">
        <x:v>exact_asa_spool_xplus4_0p4</x:v>
      </x:c>
      <x:c r="Q25" s="16" t="str">
        <x:v>EXACT_PROCESS_SPOOL_PRESET_REQUIRED</x:v>
      </x:c>
      <x:c r="R25" s="16" t="str">
        <x:v>06_ASA_mast_fit_tests.PRINT_SETTINGS.md</x:v>
      </x:c>
      <x:c r="S25" s="16" t="str">
        <x:v>slicer_profiles/QIDI_PLUS4/asa_structural_0p4.process.json</x:v>
      </x:c>
    </x:row>
    <x:row r="26">
      <x:c r="A26" s="20" t="str">
        <x:v>07A</x:v>
      </x:c>
      <x:c r="B26" s="20" t="str">
        <x:v>first_article</x:v>
      </x:c>
      <x:c r="C26" s="20" t="str">
        <x:v>camera_mast_optional</x:v>
      </x:c>
      <x:c r="D26" s="20" t="str">
        <x:v>NO</x:v>
      </x:c>
      <x:c r="E26" s="20" t="str">
        <x:v>NOT_SELECTED</x:v>
      </x:c>
      <x:c r="F26" s="20" t="str">
        <x:v>asa_structural_0p4</x:v>
      </x:c>
      <x:c r="G26" s="20" t="str">
        <x:v>ASA</x:v>
      </x:c>
      <x:c r="H26" s="23" t="n">
        <x:v>0.24</x:v>
      </x:c>
      <x:c r="I26" s="20" t="str">
        <x:v>07A_ASA_mast_foot_first_article.3mf</x:v>
      </x:c>
      <x:c r="J26" s="27" t="n">
        <x:v>1</x:v>
      </x:c>
      <x:c r="K26" s="27" t="n">
        <x:v>7</x:v>
      </x:c>
      <x:c r="L26" s="20" t="str">
        <x:v>fixed_camera_fallback_architecture_released; asa_profile_calibrated; asa_mast_socket_coupon_pass; asa_m5_nut_coupon_pass; asa_m5_clearance_coupon_pass; geometry_matches_measurements; qidi_studio_roundtrip_confirmed</x:v>
      </x:c>
      <x:c r="M26" s="20" t="str">
        <x:v>First fixed-mast fallback foot with rear-lug clamp bolts; not part of the intended arm-mounted camera architecture</x:v>
      </x:c>
      <x:c r="N26" s="20" t="str">
        <x:v>NOT_SELECTED</x:v>
      </x:c>
      <x:c r="O26" s="20" t="str">
        <x:v>KIT-MAST</x:v>
      </x:c>
      <x:c r="P26" s="20" t="str">
        <x:v>exact_asa_spool_xplus4_0p4</x:v>
      </x:c>
      <x:c r="Q26" s="20" t="str">
        <x:v>EXACT_PROCESS_SPOOL_PRESET_REQUIRED</x:v>
      </x:c>
      <x:c r="R26" s="20" t="str">
        <x:v>07A_ASA_mast_foot_first_article.PRINT_SETTINGS.md</x:v>
      </x:c>
      <x:c r="S26" s="20" t="str">
        <x:v>slicer_profiles/QIDI_PLUS4/asa_structural_0p4.process.json</x:v>
      </x:c>
    </x:row>
    <x:row r="27">
      <x:c r="A27" s="17" t="str">
        <x:v>07B</x:v>
      </x:c>
      <x:c r="B27" s="17" t="str">
        <x:v>optional</x:v>
      </x:c>
      <x:c r="C27" s="17" t="str">
        <x:v>camera_mast_optional</x:v>
      </x:c>
      <x:c r="D27" s="17" t="str">
        <x:v>NO</x:v>
      </x:c>
      <x:c r="E27" s="17" t="str">
        <x:v>NOT_SELECTED</x:v>
      </x:c>
      <x:c r="F27" s="17" t="str">
        <x:v>asa_structural_0p4</x:v>
      </x:c>
      <x:c r="G27" s="17" t="str">
        <x:v>ASA</x:v>
      </x:c>
      <x:c r="H27" s="24" t="n">
        <x:v>0.24</x:v>
      </x:c>
      <x:c r="I27" s="17" t="str">
        <x:v>07B_ASA_mast_foot_second.3mf</x:v>
      </x:c>
      <x:c r="J27" s="28" t="n">
        <x:v>1</x:v>
      </x:c>
      <x:c r="K27" s="28" t="n">
        <x:v>8</x:v>
      </x:c>
      <x:c r="L27" s="17" t="str">
        <x:v>fixed_camera_fallback_architecture_released; asa_profile_calibrated; asa_mast_socket_coupon_pass; asa_m5_nut_coupon_pass; asa_m5_clearance_coupon_pass; geometry_matches_measurements; mast_foot_first_article_pass; qidi_studio_roundtrip_confirmed</x:v>
      </x:c>
      <x:c r="M27" s="17" t="str">
        <x:v>Second fixed-mast fallback foot after first-article acceptance; not part of the intended arm-mounted camera architecture</x:v>
      </x:c>
      <x:c r="N27" s="17" t="str">
        <x:v>NOT_SELECTED</x:v>
      </x:c>
      <x:c r="O27" s="17" t="str">
        <x:v>KIT-MAST</x:v>
      </x:c>
      <x:c r="P27" s="17" t="str">
        <x:v>exact_asa_spool_xplus4_0p4</x:v>
      </x:c>
      <x:c r="Q27" s="17" t="str">
        <x:v>EXACT_PROCESS_SPOOL_PRESET_REQUIRED</x:v>
      </x:c>
      <x:c r="R27" s="17" t="str">
        <x:v>07B_ASA_mast_foot_second.PRINT_SETTINGS.md</x:v>
      </x:c>
      <x:c r="S27" s="17" t="str">
        <x:v>slicer_profiles/QIDI_PLUS4/asa_structural_0p4.process.json</x:v>
      </x:c>
    </x:row>
  </x:sheetData>
  <x:mergeCells>
    <x:mergeCell ref="A1:S1"/>
  </x:mergeCells>
  <x:conditionalFormatting sqref="E4:E27">
    <x:cfRule type="containsText" dxfId="24" priority="1" operator="containsText" text="PASS"/>
    <x:cfRule type="containsText" dxfId="25" priority="2" operator="containsText" text="READY"/>
    <x:cfRule type="containsText" dxfId="26" priority="3" operator="containsText" text="WAITING"/>
    <x:cfRule type="containsText" dxfId="27" priority="4" operator="containsText" text="NOT_TESTED"/>
    <x:cfRule type="containsText" dxfId="28" priority="5" operator="containsText" text="NOT_SELECTED"/>
    <x:cfRule type="containsText" dxfId="29" priority="6" operator="containsText" text="HOLD"/>
    <x:cfRule type="containsText" dxfId="30" priority="7" operator="containsText" text="OPEN"/>
    <x:cfRule type="containsText" dxfId="31" priority="8" operator="containsText" text="FAIL"/>
  </x:conditionalFormatting>
  <x:conditionalFormatting sqref="N4:N27">
    <x:cfRule type="containsText" dxfId="32" priority="9" operator="containsText" text="PASS"/>
    <x:cfRule type="containsText" dxfId="33" priority="10" operator="containsText" text="READY"/>
    <x:cfRule type="containsText" dxfId="34" priority="11" operator="containsText" text="WAITING"/>
    <x:cfRule type="containsText" dxfId="35" priority="12" operator="containsText" text="NOT_TESTED"/>
    <x:cfRule type="containsText" dxfId="36" priority="13" operator="containsText" text="NOT_SELECTED"/>
    <x:cfRule type="containsText" dxfId="37" priority="14" operator="containsText" text="HOLD"/>
    <x:cfRule type="containsText" dxfId="38" priority="15" operator="containsText" text="OPEN"/>
    <x:cfRule type="containsText" dxfId="39" priority="16" operator="containsText" text="FAIL"/>
  </x:conditionalFormatting>
  <x:conditionalFormatting sqref="Q4:Q27">
    <x:cfRule type="containsText" dxfId="40" priority="17" operator="containsText" text="PASS"/>
    <x:cfRule type="containsText" dxfId="41" priority="18" operator="containsText" text="READY"/>
    <x:cfRule type="containsText" dxfId="42" priority="19" operator="containsText" text="WAITING"/>
    <x:cfRule type="containsText" dxfId="43" priority="20" operator="containsText" text="NOT_TESTED"/>
    <x:cfRule type="containsText" dxfId="44" priority="21" operator="containsText" text="NOT_SELECTED"/>
    <x:cfRule type="containsText" dxfId="45" priority="22" operator="containsText" text="HOLD"/>
    <x:cfRule type="containsText" dxfId="46" priority="23" operator="containsText" text="OPEN"/>
    <x:cfRule type="containsText" dxfId="47" priority="24" operator="containsText" text="FAIL"/>
  </x:conditionalFormatting>
  <x:pageMargins left="0.7" right="0.7" top="0.75" bottom="0.75" header="0.3" footer="0.3"/>
  <x:tableParts count="1">
    <x:tablePart xmlns:r="http://schemas.openxmlformats.org/officeDocument/2006/relationships" r:id="R72eed725e306409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10" hidden="0" customWidth="1"/>
    <x:col min="4" max="4" width="10" hidden="0" customWidth="1"/>
    <x:col min="5" max="5" width="9" hidden="0" customWidth="1"/>
    <x:col min="6" max="6" width="9" hidden="0" customWidth="1"/>
    <x:col min="7" max="7" width="9" hidden="0" customWidth="1"/>
    <x:col min="8" max="8" width="10" hidden="0" customWidth="1"/>
    <x:col min="9" max="9" width="18" hidden="0" customWidth="1"/>
    <x:col min="10" max="10" width="40" hidden="0" customWidth="1"/>
    <x:col min="11" max="11" width="48" hidden="0" customWidth="1"/>
    <x:col min="12" max="12" width="62" hidden="0" customWidth="1"/>
    <x:col min="13" max="13" width="68" hidden="0" customWidth="1"/>
    <x:col min="14" max="14" width="34" hidden="0" customWidth="1"/>
    <x:col min="15" max="15" width="38" hidden="0" customWidth="1"/>
    <x:col min="16" max="16" width="30" hidden="0" customWidth="1"/>
    <x:col min="17" max="17" width="36" hidden="0" customWidth="1"/>
    <x:col min="18" max="18" width="52" hidden="0" customWidth="1"/>
  </x:cols>
  <x:sheetData>
    <x:row r="1" ht="30" customHeight="1">
      <x:c r="A1" s="3" t="str">
        <x:v>Print Process Profiles - exact process files; spool-dependent thermal data is never inferred</x:v>
      </x:c>
      <x:c r="B1" s="3"/>
      <x:c r="C1" s="3"/>
      <x:c r="D1" s="3"/>
      <x:c r="E1" s="3"/>
      <x:c r="F1" s="3"/>
      <x:c r="G1" s="3"/>
      <x:c r="H1" s="3"/>
      <x:c r="I1" s="3"/>
      <x:c r="J1" s="3"/>
      <x:c r="K1" s="3"/>
      <x:c r="L1" s="3"/>
      <x:c r="M1" s="3"/>
      <x:c r="N1" s="3"/>
      <x:c r="O1" s="3"/>
      <x:c r="P1" s="3"/>
      <x:c r="Q1" s="3"/>
      <x:c r="R1" s="3"/>
    </x:row>
    <x:row r="3" ht="28" customHeight="1">
      <x:c r="A3" s="7" t="str">
        <x:v>Profile</x:v>
      </x:c>
      <x:c r="B3" s="7" t="str">
        <x:v>Material</x:v>
      </x:c>
      <x:c r="C3" s="7" t="str">
        <x:v>Nozzle</x:v>
      </x:c>
      <x:c r="D3" s="7" t="str">
        <x:v>Layer</x:v>
      </x:c>
      <x:c r="E3" s="7" t="str">
        <x:v>Walls</x:v>
      </x:c>
      <x:c r="F3" s="7" t="str">
        <x:v>Top</x:v>
      </x:c>
      <x:c r="G3" s="7" t="str">
        <x:v>Bottom</x:v>
      </x:c>
      <x:c r="H3" s="7" t="str">
        <x:v>Infill %</x:v>
      </x:c>
      <x:c r="I3" s="7" t="str">
        <x:v>Pattern</x:v>
      </x:c>
      <x:c r="J3" s="7" t="str">
        <x:v>Supports</x:v>
      </x:c>
      <x:c r="K3" s="7" t="str">
        <x:v>Purpose</x:v>
      </x:c>
      <x:c r="L3" s="7" t="str">
        <x:v>Bed adhesion</x:v>
      </x:c>
      <x:c r="M3" s="7" t="str">
        <x:v>Dimensional controls</x:v>
      </x:c>
      <x:c r="N3" s="7" t="str">
        <x:v>Filament preset</x:v>
      </x:c>
      <x:c r="O3" s="7" t="str">
        <x:v>Preset status</x:v>
      </x:c>
      <x:c r="P3" s="7" t="str">
        <x:v>QIDI base process</x:v>
      </x:c>
      <x:c r="Q3" s="7" t="str">
        <x:v>QIDI import name</x:v>
      </x:c>
      <x:c r="R3" s="7" t="str">
        <x:v>QIDI process file</x:v>
      </x:c>
    </x:row>
    <x:row r="4">
      <x:c r="A4" s="18" t="str">
        <x:v>abs_rapido_general_0p4</x:v>
      </x:c>
      <x:c r="B4" s="18" t="str">
        <x:v>QIDI ABS Rapido</x:v>
      </x:c>
      <x:c r="C4" s="21" t="n">
        <x:v>0.4</x:v>
      </x:c>
      <x:c r="D4" s="21" t="n">
        <x:v>0.2</x:v>
      </x:c>
      <x:c r="E4" s="25" t="n">
        <x:v>4</x:v>
      </x:c>
      <x:c r="F4" s="25" t="n">
        <x:v>5</x:v>
      </x:c>
      <x:c r="G4" s="25" t="n">
        <x:v>5</x:v>
      </x:c>
      <x:c r="H4" s="25" t="n">
        <x:v>25</x:v>
      </x:c>
      <x:c r="I4" s="18" t="str">
        <x:v>gyroid</x:v>
      </x:c>
      <x:c r="J4" s="18" t="str">
        <x:v>off</x:v>
      </x:c>
      <x:c r="K4" s="18" t="str">
        <x:v>Replaceable clamps, direct-tag setup tooling, and general ABS hardware coupons</x:v>
      </x:c>
      <x:c r="L4" s="18" t="str">
        <x:v>5 mm outer brim with 0.05 mm object gap on clean textured PEI</x:v>
      </x:c>
      <x:c r="M4" s="18" t="str">
        <x:v>Zero XY contour and hole compensation until the matching ABS coupon provides measured evidence; elephant-foot compensation 0.15 mm</x:v>
      </x:c>
      <x:c r="N4" s="18" t="str">
        <x:v>qidi_abs_rapido_xplus4_0p4</x:v>
      </x:c>
      <x:c r="O4" s="18" t="str">
        <x:v>EXACT_REPRODUCIBLE</x:v>
      </x:c>
      <x:c r="P4" s="18" t="str">
        <x:v>0.20mm Standard @XPlus4</x:v>
      </x:c>
      <x:c r="Q4" s="18" t="str">
        <x:v>RC03 ABS Rapido General 0.20</x:v>
      </x:c>
      <x:c r="R4" s="18" t="str">
        <x:v>slicer_profiles/QIDI_PLUS4/abs_rapido_general_0p4.process.json</x:v>
      </x:c>
    </x:row>
    <x:row r="5">
      <x:c r="A5" s="16" t="str">
        <x:v>abs_rapido_tray_structural_0p4</x:v>
      </x:c>
      <x:c r="B5" s="16" t="str">
        <x:v>QIDI ABS Rapido</x:v>
      </x:c>
      <x:c r="C5" s="22" t="n">
        <x:v>0.4</x:v>
      </x:c>
      <x:c r="D5" s="22" t="n">
        <x:v>0.2</x:v>
      </x:c>
      <x:c r="E5" s="26" t="n">
        <x:v>5</x:v>
      </x:c>
      <x:c r="F5" s="26" t="n">
        <x:v>6</x:v>
      </x:c>
      <x:c r="G5" s="26" t="n">
        <x:v>6</x:v>
      </x:c>
      <x:c r="H5" s="26" t="n">
        <x:v>35</x:v>
      </x:c>
      <x:c r="I5" s="16" t="str">
        <x:v>gyroid</x:v>
      </x:c>
      <x:c r="J5" s="16" t="str">
        <x:v>off</x:v>
      </x:c>
      <x:c r="K5" s="16" t="str">
        <x:v>Integrated ABS left-master and right-slave keyboard stations</x:v>
      </x:c>
      <x:c r="L5" s="16" t="str">
        <x:v>8 mm outer brim with 0.05 mm object gap; clean textured PEI; one production station per plate</x:v>
      </x:c>
      <x:c r="M5" s="16" t="str">
        <x:v>Keep the slicer seam away from locator sockets, relieved hold-down holes, seam datums, clamp guides, and keyboard contact datums; zero XY compensation pending Job 00A</x:v>
      </x:c>
      <x:c r="N5" s="16" t="str">
        <x:v>qidi_abs_rapido_xplus4_0p4</x:v>
      </x:c>
      <x:c r="O5" s="16" t="str">
        <x:v>EXACT_REPRODUCIBLE</x:v>
      </x:c>
      <x:c r="P5" s="16" t="str">
        <x:v>0.20mm Standard @XPlus4</x:v>
      </x:c>
      <x:c r="Q5" s="16" t="str">
        <x:v>RC03 ABS Rapido Tray Structural 0.20</x:v>
      </x:c>
      <x:c r="R5" s="16" t="str">
        <x:v>slicer_profiles/QIDI_PLUS4/abs_rapido_tray_structural_0p4.process.json</x:v>
      </x:c>
    </x:row>
    <x:row r="6">
      <x:c r="A6" s="20" t="str">
        <x:v>abs_rapido_cradle_0p4</x:v>
      </x:c>
      <x:c r="B6" s="20" t="str">
        <x:v>QIDI ABS Rapido</x:v>
      </x:c>
      <x:c r="C6" s="23" t="n">
        <x:v>0.4</x:v>
      </x:c>
      <x:c r="D6" s="23" t="n">
        <x:v>0.2</x:v>
      </x:c>
      <x:c r="E6" s="27" t="n">
        <x:v>5</x:v>
      </x:c>
      <x:c r="F6" s="27" t="n">
        <x:v>5</x:v>
      </x:c>
      <x:c r="G6" s="27" t="n">
        <x:v>5</x:v>
      </x:c>
      <x:c r="H6" s="27" t="n">
        <x:v>30</x:v>
      </x:c>
      <x:c r="I6" s="20" t="str">
        <x:v>gyroid</x:v>
      </x:c>
      <x:c r="J6" s="20" t="str">
        <x:v>off; stop and obtain engineering approval if the locked layer preview shows an unprintable tower</x:v>
      </x:c>
      <x:c r="K6" s="20" t="str">
        <x:v>Integrated ABS phone/TCP service station and replaceable phone clamp rail</x:v>
      </x:c>
      <x:c r="L6" s="20" t="str">
        <x:v>8 mm outer brim with 0.05 mm object gap on clean textured PEI</x:v>
      </x:c>
      <x:c r="M6" s="20" t="str">
        <x:v>Use the same-profile ABS locator, captive-M4, vertical-M3-insert, cable-saddle, and washer coupons; do not rework a released socket ad hoc</x:v>
      </x:c>
      <x:c r="N6" s="20" t="str">
        <x:v>qidi_abs_rapido_xplus4_0p4</x:v>
      </x:c>
      <x:c r="O6" s="20" t="str">
        <x:v>EXACT_REPRODUCIBLE</x:v>
      </x:c>
      <x:c r="P6" s="20" t="str">
        <x:v>0.20mm Standard @XPlus4</x:v>
      </x:c>
      <x:c r="Q6" s="20" t="str">
        <x:v>RC03 ABS Rapido Cradle 0.20</x:v>
      </x:c>
      <x:c r="R6" s="20" t="str">
        <x:v>slicer_profiles/QIDI_PLUS4/abs_rapido_cradle_0p4.process.json</x:v>
      </x:c>
    </x:row>
    <x:row r="7">
      <x:c r="A7" s="16" t="str">
        <x:v>abs_rapido_precision_0p4</x:v>
      </x:c>
      <x:c r="B7" s="16" t="str">
        <x:v>QIDI ABS Rapido</x:v>
      </x:c>
      <x:c r="C7" s="22" t="n">
        <x:v>0.4</x:v>
      </x:c>
      <x:c r="D7" s="22" t="n">
        <x:v>0.16</x:v>
      </x:c>
      <x:c r="E7" s="26" t="n">
        <x:v>5</x:v>
      </x:c>
      <x:c r="F7" s="26" t="n">
        <x:v>6</x:v>
      </x:c>
      <x:c r="G7" s="26" t="n">
        <x:v>6</x:v>
      </x:c>
      <x:c r="H7" s="26" t="n">
        <x:v>40</x:v>
      </x:c>
      <x:c r="I7" s="16" t="str">
        <x:v>gyroid</x:v>
      </x:c>
      <x:c r="J7" s="16" t="str">
        <x:v>off</x:v>
      </x:c>
      <x:c r="K7" s="16" t="str">
        <x:v>ABS compliant tool body, caps, and exact-profile qualification coupons</x:v>
      </x:c>
      <x:c r="L7" s="16" t="str">
        <x:v>5 mm outer brim with 0.05 mm object gap on clean textured PEI</x:v>
      </x:c>
      <x:c r="M7" s="16" t="str">
        <x:v>Keep the seam off gripper flats, spring seats, insert pockets, and the sliding guide bore; zero XY compensation pending Job 00C</x:v>
      </x:c>
      <x:c r="N7" s="16" t="str">
        <x:v>qidi_abs_rapido_xplus4_0p4</x:v>
      </x:c>
      <x:c r="O7" s="16" t="str">
        <x:v>EXACT_REPRODUCIBLE</x:v>
      </x:c>
      <x:c r="P7" s="16" t="str">
        <x:v>0.16mm High Quality @XPlus4</x:v>
      </x:c>
      <x:c r="Q7" s="16" t="str">
        <x:v>RC03 ABS Rapido Precision 0.16</x:v>
      </x:c>
      <x:c r="R7" s="16" t="str">
        <x:v>slicer_profiles/QIDI_PLUS4/abs_rapido_precision_0p4.process.json</x:v>
      </x:c>
    </x:row>
    <x:row r="8">
      <x:c r="A8" s="20" t="str">
        <x:v>abs_rapido_calibration_0p4</x:v>
      </x:c>
      <x:c r="B8" s="20" t="str">
        <x:v>QIDI ABS Rapido</x:v>
      </x:c>
      <x:c r="C8" s="23" t="n">
        <x:v>0.4</x:v>
      </x:c>
      <x:c r="D8" s="23" t="n">
        <x:v>0.16</x:v>
      </x:c>
      <x:c r="E8" s="27" t="n">
        <x:v>4</x:v>
      </x:c>
      <x:c r="F8" s="27" t="n">
        <x:v>6</x:v>
      </x:c>
      <x:c r="G8" s="27" t="n">
        <x:v>6</x:v>
      </x:c>
      <x:c r="H8" s="27" t="n">
        <x:v>40</x:v>
      </x:c>
      <x:c r="I8" s="20" t="str">
        <x:v>gyroid</x:v>
      </x:c>
      <x:c r="J8" s="20" t="str">
        <x:v>off</x:v>
      </x:c>
      <x:c r="K8" s="20" t="str">
        <x:v>ABS keyed replaceable TCP datum cartridges and matching clearance qualification</x:v>
      </x:c>
      <x:c r="L8" s="20" t="str">
        <x:v>5 mm outer brim with 0.05 mm object gap on clean textured PEI</x:v>
      </x:c>
      <x:c r="M8" s="20" t="str">
        <x:v>No ironing over crosshairs or divots; seam away from keyed receiver faces; zero XY compensation pending Job 00F</x:v>
      </x:c>
      <x:c r="N8" s="20" t="str">
        <x:v>qidi_abs_rapido_xplus4_0p4</x:v>
      </x:c>
      <x:c r="O8" s="20" t="str">
        <x:v>EXACT_REPRODUCIBLE</x:v>
      </x:c>
      <x:c r="P8" s="20" t="str">
        <x:v>0.16mm High Quality @XPlus4</x:v>
      </x:c>
      <x:c r="Q8" s="20" t="str">
        <x:v>RC03 ABS Rapido Calibration 0.16</x:v>
      </x:c>
      <x:c r="R8" s="20" t="str">
        <x:v>slicer_profiles/QIDI_PLUS4/abs_rapido_calibration_0p4.process.json</x:v>
      </x:c>
    </x:row>
    <x:row r="9">
      <x:c r="A9" s="16" t="str">
        <x:v>petg_general_0p4</x:v>
      </x:c>
      <x:c r="B9" s="16" t="str">
        <x:v>PETG</x:v>
      </x:c>
      <x:c r="C9" s="22" t="n">
        <x:v>0.4</x:v>
      </x:c>
      <x:c r="D9" s="22" t="n">
        <x:v>0.2</x:v>
      </x:c>
      <x:c r="E9" s="26" t="n">
        <x:v>4</x:v>
      </x:c>
      <x:c r="F9" s="26" t="n">
        <x:v>5</x:v>
      </x:c>
      <x:c r="G9" s="26" t="n">
        <x:v>5</x:v>
      </x:c>
      <x:c r="H9" s="26" t="n">
        <x:v>25</x:v>
      </x:c>
      <x:c r="I9" s="16" t="str">
        <x:v>gyroid</x:v>
      </x:c>
      <x:c r="J9" s="16" t="str">
        <x:v>off</x:v>
      </x:c>
      <x:c r="K9" s="16" t="str">
        <x:v>Unselected fixed-camera fallback plate only</x:v>
      </x:c>
      <x:c r="L9" s="16" t="str">
        <x:v>5 mm outer brim after the exact PETG spool is qualified</x:v>
      </x:c>
      <x:c r="M9" s="16" t="str">
        <x:v>Use only with same-spool coupons</x:v>
      </x:c>
      <x:c r="N9" s="16" t="str">
        <x:v>exact_petg_spool_xplus4_0p4</x:v>
      </x:c>
      <x:c r="O9" s="16" t="str">
        <x:v>EXACT_PROCESS_SPOOL_PRESET_REQUIRED</x:v>
      </x:c>
      <x:c r="P9" s="16" t="str">
        <x:v>0.20mm Standard @XPlus4</x:v>
      </x:c>
      <x:c r="Q9" s="16" t="str">
        <x:v>RC03 PETG General 0.20</x:v>
      </x:c>
      <x:c r="R9" s="16" t="str">
        <x:v>slicer_profiles/QIDI_PLUS4/petg_general_0p4.process.json</x:v>
      </x:c>
    </x:row>
    <x:row r="10">
      <x:c r="A10" s="20" t="str">
        <x:v>petg_adapter_0p4</x:v>
      </x:c>
      <x:c r="B10" s="20" t="str">
        <x:v>PETG</x:v>
      </x:c>
      <x:c r="C10" s="23" t="n">
        <x:v>0.4</x:v>
      </x:c>
      <x:c r="D10" s="23" t="n">
        <x:v>0.12</x:v>
      </x:c>
      <x:c r="E10" s="27" t="n">
        <x:v>4</x:v>
      </x:c>
      <x:c r="F10" s="27" t="n">
        <x:v>5</x:v>
      </x:c>
      <x:c r="G10" s="27" t="n">
        <x:v>5</x:v>
      </x:c>
      <x:c r="H10" s="27" t="n">
        <x:v>100</x:v>
      </x:c>
      <x:c r="I10" s="20" t="str">
        <x:v>rectilinear</x:v>
      </x:c>
      <x:c r="J10" s="20" t="str">
        <x:v>off</x:v>
      </x:c>
      <x:c r="K10" s="20" t="str">
        <x:v>Ductile, fit-sensitive stylus collar and thin split rod bushing</x:v>
      </x:c>
      <x:c r="L10" s="20" t="str">
        <x:v>8 mm outer brim with 0.10 mm object gap after the exact PETG spool is qualified</x:v>
      </x:c>
      <x:c r="M10" s="20" t="str">
        <x:v>Calibrate elephant-foot compensation so split bores remain open; never globally scale</x:v>
      </x:c>
      <x:c r="N10" s="20" t="str">
        <x:v>exact_petg_spool_xplus4_0p4</x:v>
      </x:c>
      <x:c r="O10" s="20" t="str">
        <x:v>EXACT_PROCESS_SPOOL_PRESET_REQUIRED</x:v>
      </x:c>
      <x:c r="P10" s="20" t="str">
        <x:v>0.12mm High Quality @XPlus4</x:v>
      </x:c>
      <x:c r="Q10" s="20" t="str">
        <x:v>RC03 PETG Split Adapter 0.12</x:v>
      </x:c>
      <x:c r="R10" s="20" t="str">
        <x:v>slicer_profiles/QIDI_PLUS4/petg_adapter_0p4.process.json</x:v>
      </x:c>
    </x:row>
    <x:row r="11">
      <x:c r="A11" s="16" t="str">
        <x:v>tpu95a_0p4</x:v>
      </x:c>
      <x:c r="B11" s="16" t="str">
        <x:v>TPU 95A</x:v>
      </x:c>
      <x:c r="C11" s="22" t="n">
        <x:v>0.4</x:v>
      </x:c>
      <x:c r="D11" s="22" t="n">
        <x:v>0.16</x:v>
      </x:c>
      <x:c r="E11" s="26" t="n">
        <x:v>3</x:v>
      </x:c>
      <x:c r="F11" s="26" t="n">
        <x:v>5</x:v>
      </x:c>
      <x:c r="G11" s="26" t="n">
        <x:v>5</x:v>
      </x:c>
      <x:c r="H11" s="26" t="n">
        <x:v>100</x:v>
      </x:c>
      <x:c r="I11" s="16" t="str">
        <x:v>rectilinear</x:v>
      </x:c>
      <x:c r="J11" s="16" t="str">
        <x:v>off</x:v>
      </x:c>
      <x:c r="K11" s="16" t="str">
        <x:v>Phone and keyboard compliant contact tips</x:v>
      </x:c>
      <x:c r="L11" s="16" t="str">
        <x:v>3 mm outer brim with 0.10 mm object gap after the exact dry TPU spool is qualified</x:v>
      </x:c>
      <x:c r="M11" s="16" t="str">
        <x:v>Keep first-layer flow calibrated so flared bore entries remain open; do not force a failed tip onto hardware</x:v>
      </x:c>
      <x:c r="N11" s="16" t="str">
        <x:v>exact_tpu95a_spool_xplus4_0p4</x:v>
      </x:c>
      <x:c r="O11" s="16" t="str">
        <x:v>EXACT_PROCESS_SPOOL_PRESET_REQUIRED</x:v>
      </x:c>
      <x:c r="P11" s="16" t="str">
        <x:v>0.16mm High Quality @XPlus4</x:v>
      </x:c>
      <x:c r="Q11" s="16" t="str">
        <x:v>RC03 TPU 95A Contact Tips 0.16</x:v>
      </x:c>
      <x:c r="R11" s="16" t="str">
        <x:v>slicer_profiles/QIDI_PLUS4/tpu95a_0p4.process.json</x:v>
      </x:c>
    </x:row>
    <x:row r="12">
      <x:c r="A12" s="20" t="str">
        <x:v>asa_structural_0p4</x:v>
      </x:c>
      <x:c r="B12" s="20" t="str">
        <x:v>ASA</x:v>
      </x:c>
      <x:c r="C12" s="23" t="n">
        <x:v>0.4</x:v>
      </x:c>
      <x:c r="D12" s="23" t="n">
        <x:v>0.24</x:v>
      </x:c>
      <x:c r="E12" s="27" t="n">
        <x:v>6</x:v>
      </x:c>
      <x:c r="F12" s="27" t="n">
        <x:v>6</x:v>
      </x:c>
      <x:c r="G12" s="27" t="n">
        <x:v>6</x:v>
      </x:c>
      <x:c r="H12" s="27" t="n">
        <x:v>45</x:v>
      </x:c>
      <x:c r="I12" s="20" t="str">
        <x:v>gyroid</x:v>
      </x:c>
      <x:c r="J12" s="20" t="str">
        <x:v>off unless a released fallback revision approves build-plate-only support</x:v>
      </x:c>
      <x:c r="K12" s="20" t="str">
        <x:v>Unselected fixed-camera fallback mast feet</x:v>
      </x:c>
      <x:c r="L12" s="20" t="str">
        <x:v>10 mm outer brim, enclosed printer, stable chamber, and no drafts</x:v>
      </x:c>
      <x:c r="M12" s="20" t="str">
        <x:v>Use same-spool ASA socket and nut coupons before a full mast foot</x:v>
      </x:c>
      <x:c r="N12" s="20" t="str">
        <x:v>exact_asa_spool_xplus4_0p4</x:v>
      </x:c>
      <x:c r="O12" s="20" t="str">
        <x:v>EXACT_PROCESS_SPOOL_PRESET_REQUIRED</x:v>
      </x:c>
      <x:c r="P12" s="20" t="str">
        <x:v>0.24mm Draft @XPlus4</x:v>
      </x:c>
      <x:c r="Q12" s="20" t="str">
        <x:v>RC03 ASA Mast Structural 0.24</x:v>
      </x:c>
      <x:c r="R12" s="20" t="str">
        <x:v>slicer_profiles/QIDI_PLUS4/asa_structural_0p4.process.json</x:v>
      </x:c>
    </x:row>
    <x:row r="13">
      <x:c r="A13" s="17" t="str">
        <x:v>structural_fast_0p6_optional</x:v>
      </x:c>
      <x:c r="B13" s="17" t="str">
        <x:v>PETG or ASA</x:v>
      </x:c>
      <x:c r="C13" s="24" t="n">
        <x:v>0.6</x:v>
      </x:c>
      <x:c r="D13" s="24" t="n">
        <x:v>0.3</x:v>
      </x:c>
      <x:c r="E13" s="28" t="n">
        <x:v>4</x:v>
      </x:c>
      <x:c r="F13" s="28" t="n">
        <x:v>5</x:v>
      </x:c>
      <x:c r="G13" s="28" t="n">
        <x:v>5</x:v>
      </x:c>
      <x:c r="H13" s="28" t="n">
        <x:v>25</x:v>
      </x:c>
      <x:c r="I13" s="17" t="str">
        <x:v>gyroid</x:v>
      </x:c>
      <x:c r="J13" s="17" t="str">
        <x:v>off unless validated for the selected structural part</x:v>
      </x:c>
      <x:c r="K13" s="17" t="str">
        <x:v>Optional future production profile; requires a new exact spool/process record and fresh coupons</x:v>
      </x:c>
      <x:c r="L13" s="17" t="str"/>
      <x:c r="M13" s="17" t="str"/>
      <x:c r="N13" s="17" t="str"/>
      <x:c r="O13" s="17" t="str">
        <x:v>NOT_RELEASED</x:v>
      </x:c>
      <x:c r="P13" s="17" t="str"/>
      <x:c r="Q13" s="17" t="str"/>
      <x:c r="R13" s="17" t="str">
        <x:v>NOT GENERATED - NOT RELEASED</x:v>
      </x:c>
    </x:row>
  </x:sheetData>
  <x:mergeCells>
    <x:mergeCell ref="A1:R1"/>
  </x:mergeCells>
  <x:conditionalFormatting sqref="O4:O13">
    <x:cfRule type="containsText" dxfId="48" priority="1" operator="containsText" text="PASS"/>
    <x:cfRule type="containsText" dxfId="49" priority="2" operator="containsText" text="READY"/>
    <x:cfRule type="containsText" dxfId="50" priority="3" operator="containsText" text="WAITING"/>
    <x:cfRule type="containsText" dxfId="51" priority="4" operator="containsText" text="NOT_TESTED"/>
    <x:cfRule type="containsText" dxfId="52" priority="5" operator="containsText" text="NOT_SELECTED"/>
    <x:cfRule type="containsText" dxfId="53" priority="6" operator="containsText" text="HOLD"/>
    <x:cfRule type="containsText" dxfId="54" priority="7" operator="containsText" text="OPEN"/>
    <x:cfRule type="containsText" dxfId="55" priority="8" operator="containsText" text="FAIL"/>
  </x:conditionalFormatting>
  <x:pageMargins left="0.7" right="0.7" top="0.75" bottom="0.75" header="0.3" footer="0.3"/>
  <x:tableParts count="1">
    <x:tablePart xmlns:r="http://schemas.openxmlformats.org/officeDocument/2006/relationships" r:id="R22bf50dc6c244d4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8" hidden="0" customWidth="1"/>
    <x:col min="2" max="2" width="8" hidden="0" customWidth="1"/>
    <x:col min="3" max="3" width="9" hidden="0" customWidth="1"/>
    <x:col min="4" max="4" width="14" hidden="0" customWidth="1"/>
    <x:col min="5" max="5" width="20" hidden="0" customWidth="1"/>
    <x:col min="6" max="6" width="27" hidden="0" customWidth="1"/>
    <x:col min="7" max="7" width="13" hidden="0" customWidth="1"/>
    <x:col min="8" max="8" width="42" hidden="0" customWidth="1"/>
    <x:col min="9" max="9" width="23" hidden="0" customWidth="1"/>
    <x:col min="10" max="10" width="13" hidden="0" customWidth="1"/>
    <x:col min="11" max="11" width="13" hidden="0" customWidth="1"/>
    <x:col min="12" max="12" width="60" hidden="0" customWidth="1"/>
  </x:cols>
  <x:sheetData>
    <x:row r="1" ht="30" customHeight="1">
      <x:c r="A1" s="3" t="str">
        <x:v>Part-to-Print-Job Map - 32 unique configured STLs</x:v>
      </x:c>
      <x:c r="B1" s="3"/>
      <x:c r="C1" s="3"/>
      <x:c r="D1" s="3"/>
      <x:c r="E1" s="3"/>
      <x:c r="F1" s="3"/>
      <x:c r="G1" s="3"/>
      <x:c r="H1" s="3"/>
      <x:c r="I1" s="3"/>
      <x:c r="J1" s="3"/>
      <x:c r="K1" s="3"/>
      <x:c r="L1" s="3"/>
    </x:row>
    <x:row r="3" ht="28" customHeight="1">
      <x:c r="A3" s="7" t="str">
        <x:v>Part file</x:v>
      </x:c>
      <x:c r="B3" s="7" t="str">
        <x:v>Qty</x:v>
      </x:c>
      <x:c r="C3" s="7" t="str">
        <x:v>Job</x:v>
      </x:c>
      <x:c r="D3" s="7" t="str">
        <x:v>Stage</x:v>
      </x:c>
      <x:c r="E3" s="7" t="str">
        <x:v>Selection</x:v>
      </x:c>
      <x:c r="F3" s="7" t="str">
        <x:v>Profile</x:v>
      </x:c>
      <x:c r="G3" s="7" t="str">
        <x:v>Material</x:v>
      </x:c>
      <x:c r="H3" s="7" t="str">
        <x:v>Plate</x:v>
      </x:c>
      <x:c r="I3" s="7" t="str">
        <x:v>Envelope mm</x:v>
      </x:c>
      <x:c r="J3" s="7" t="str">
        <x:v>Volume cm3</x:v>
      </x:c>
      <x:c r="K3" s="7" t="str">
        <x:v>Mesh QA</x:v>
      </x:c>
      <x:c r="L3" s="7" t="str">
        <x:v>Purpose</x:v>
      </x:c>
    </x:row>
    <x:row r="4">
      <x:c r="A4" s="18" t="str">
        <x:v>keyboard_corner_fit_test.stl</x:v>
      </x:c>
      <x:c r="B4" s="25" t="n">
        <x:v>1</x:v>
      </x:c>
      <x:c r="C4" s="18" t="str">
        <x:v>00A</x:v>
      </x:c>
      <x:c r="D4" s="18" t="str">
        <x:v>diagnostic</x:v>
      </x:c>
      <x:c r="E4" s="18" t="str">
        <x:v>required</x:v>
      </x:c>
      <x:c r="F4" s="18" t="str">
        <x:v>abs_rapido_tray_structural_0p4</x:v>
      </x:c>
      <x:c r="G4" s="18" t="str">
        <x:v>QIDI ABS Rapido</x:v>
      </x:c>
      <x:c r="H4" s="18" t="str">
        <x:v>00A_ABS_keyboard_station_fit_tests.3mf</x:v>
      </x:c>
      <x:c r="I4" s="18" t="str">
        <x:v>58.0 x 58.0 x 11.0</x:v>
      </x:c>
      <x:c r="J4" s="21" t="str">
        <x:v>12.97</x:v>
      </x:c>
      <x:c r="K4" s="18" t="str">
        <x:v>PASS</x:v>
      </x:c>
      <x:c r="L4" s="18" t="str">
        <x:v>ABS keyboard datum, board/seam locator, clearance, and washer qualification using the exact station profile</x:v>
      </x:c>
    </x:row>
    <x:row r="5">
      <x:c r="A5" s="16" t="str">
        <x:v>station_locator_fit_gauge.stl</x:v>
      </x:c>
      <x:c r="B5" s="26" t="n">
        <x:v>1</x:v>
      </x:c>
      <x:c r="C5" s="16" t="str">
        <x:v>00A</x:v>
      </x:c>
      <x:c r="D5" s="16" t="str">
        <x:v>diagnostic</x:v>
      </x:c>
      <x:c r="E5" s="16" t="str">
        <x:v>required</x:v>
      </x:c>
      <x:c r="F5" s="16" t="str">
        <x:v>abs_rapido_tray_structural_0p4</x:v>
      </x:c>
      <x:c r="G5" s="16" t="str">
        <x:v>QIDI ABS Rapido</x:v>
      </x:c>
      <x:c r="H5" s="16" t="str">
        <x:v>00A_ABS_keyboard_station_fit_tests.3mf</x:v>
      </x:c>
      <x:c r="I5" s="16" t="str">
        <x:v>160.0 x 84.0 x 7.0</x:v>
      </x:c>
      <x:c r="J5" s="22" t="str">
        <x:v>89.29</x:v>
      </x:c>
      <x:c r="K5" s="16" t="str">
        <x:v>PASS</x:v>
      </x:c>
      <x:c r="L5" s="16" t="str">
        <x:v>ABS keyboard datum, board/seam locator, clearance, and washer qualification using the exact station profile</x:v>
      </x:c>
    </x:row>
    <x:row r="6">
      <x:c r="A6" s="20" t="str">
        <x:v>hardware_fit_gauge.stl</x:v>
      </x:c>
      <x:c r="B6" s="27" t="n">
        <x:v>1</x:v>
      </x:c>
      <x:c r="C6" s="20" t="str">
        <x:v>00A</x:v>
      </x:c>
      <x:c r="D6" s="20" t="str">
        <x:v>diagnostic</x:v>
      </x:c>
      <x:c r="E6" s="20" t="str">
        <x:v>required</x:v>
      </x:c>
      <x:c r="F6" s="20" t="str">
        <x:v>abs_rapido_tray_structural_0p4</x:v>
      </x:c>
      <x:c r="G6" s="20" t="str">
        <x:v>QIDI ABS Rapido</x:v>
      </x:c>
      <x:c r="H6" s="20" t="str">
        <x:v>00A_ABS_keyboard_station_fit_tests.3mf</x:v>
      </x:c>
      <x:c r="I6" s="20" t="str">
        <x:v>160.0 x 30.0 x 6.0</x:v>
      </x:c>
      <x:c r="J6" s="23" t="str">
        <x:v>27.82</x:v>
      </x:c>
      <x:c r="K6" s="20" t="str">
        <x:v>PASS</x:v>
      </x:c>
      <x:c r="L6" s="20" t="str">
        <x:v>ABS keyboard datum, board/seam locator, clearance, and washer qualification using the exact station profile</x:v>
      </x:c>
    </x:row>
    <x:row r="7">
      <x:c r="A7" s="16" t="str">
        <x:v>m4_washer_fit_gauge.stl</x:v>
      </x:c>
      <x:c r="B7" s="26" t="n">
        <x:v>1</x:v>
      </x:c>
      <x:c r="C7" s="16" t="str">
        <x:v>00A</x:v>
      </x:c>
      <x:c r="D7" s="16" t="str">
        <x:v>diagnostic</x:v>
      </x:c>
      <x:c r="E7" s="16" t="str">
        <x:v>required</x:v>
      </x:c>
      <x:c r="F7" s="16" t="str">
        <x:v>abs_rapido_tray_structural_0p4</x:v>
      </x:c>
      <x:c r="G7" s="16" t="str">
        <x:v>QIDI ABS Rapido</x:v>
      </x:c>
      <x:c r="H7" s="16" t="str">
        <x:v>00A_ABS_keyboard_station_fit_tests.3mf</x:v>
      </x:c>
      <x:c r="I7" s="16" t="str">
        <x:v>78.0 x 30.0 x 6.0</x:v>
      </x:c>
      <x:c r="J7" s="22" t="str">
        <x:v>13.57</x:v>
      </x:c>
      <x:c r="K7" s="16" t="str">
        <x:v>PASS</x:v>
      </x:c>
      <x:c r="L7" s="16" t="str">
        <x:v>ABS keyboard datum, board/seam locator, clearance, and washer qualification using the exact station profile</x:v>
      </x:c>
    </x:row>
    <x:row r="8">
      <x:c r="A8" s="20" t="str">
        <x:v>phone_width_fit_test.stl</x:v>
      </x:c>
      <x:c r="B8" s="27" t="n">
        <x:v>1</x:v>
      </x:c>
      <x:c r="C8" s="20" t="str">
        <x:v>00B</x:v>
      </x:c>
      <x:c r="D8" s="20" t="str">
        <x:v>diagnostic</x:v>
      </x:c>
      <x:c r="E8" s="20" t="str">
        <x:v>required</x:v>
      </x:c>
      <x:c r="F8" s="20" t="str">
        <x:v>abs_rapido_cradle_0p4</x:v>
      </x:c>
      <x:c r="G8" s="20" t="str">
        <x:v>QIDI ABS Rapido</x:v>
      </x:c>
      <x:c r="H8" s="20" t="str">
        <x:v>00B_ABS_phone_station_fit_tests.3mf</x:v>
      </x:c>
      <x:c r="I8" s="20" t="str">
        <x:v>86.3 x 36.0 x 9.0</x:v>
      </x:c>
      <x:c r="J8" s="23" t="str">
        <x:v>10.66</x:v>
      </x:c>
      <x:c r="K8" s="20" t="str">
        <x:v>PASS</x:v>
      </x:c>
      <x:c r="L8" s="20" t="str">
        <x:v>ABS phone fit, locator, captive M4 nut, profile-specific M3 insert, cable-saddle, and washer qualification using the exact service-station profile</x:v>
      </x:c>
    </x:row>
    <x:row r="9">
      <x:c r="A9" s="16" t="str">
        <x:v>station_locator_fit_gauge.stl</x:v>
      </x:c>
      <x:c r="B9" s="26" t="n">
        <x:v>1</x:v>
      </x:c>
      <x:c r="C9" s="16" t="str">
        <x:v>00B</x:v>
      </x:c>
      <x:c r="D9" s="16" t="str">
        <x:v>diagnostic</x:v>
      </x:c>
      <x:c r="E9" s="16" t="str">
        <x:v>required</x:v>
      </x:c>
      <x:c r="F9" s="16" t="str">
        <x:v>abs_rapido_cradle_0p4</x:v>
      </x:c>
      <x:c r="G9" s="16" t="str">
        <x:v>QIDI ABS Rapido</x:v>
      </x:c>
      <x:c r="H9" s="16" t="str">
        <x:v>00B_ABS_phone_station_fit_tests.3mf</x:v>
      </x:c>
      <x:c r="I9" s="16" t="str">
        <x:v>160.0 x 84.0 x 7.0</x:v>
      </x:c>
      <x:c r="J9" s="22" t="str">
        <x:v>89.29</x:v>
      </x:c>
      <x:c r="K9" s="16" t="str">
        <x:v>PASS</x:v>
      </x:c>
      <x:c r="L9" s="16" t="str">
        <x:v>ABS phone fit, locator, captive M4 nut, profile-specific M3 insert, cable-saddle, and washer qualification using the exact service-station profile</x:v>
      </x:c>
    </x:row>
    <x:row r="10">
      <x:c r="A10" s="20" t="str">
        <x:v>m4_captive_nut_fit_gauge.stl</x:v>
      </x:c>
      <x:c r="B10" s="27" t="n">
        <x:v>1</x:v>
      </x:c>
      <x:c r="C10" s="20" t="str">
        <x:v>00B</x:v>
      </x:c>
      <x:c r="D10" s="20" t="str">
        <x:v>diagnostic</x:v>
      </x:c>
      <x:c r="E10" s="20" t="str">
        <x:v>required</x:v>
      </x:c>
      <x:c r="F10" s="20" t="str">
        <x:v>abs_rapido_cradle_0p4</x:v>
      </x:c>
      <x:c r="G10" s="20" t="str">
        <x:v>QIDI ABS Rapido</x:v>
      </x:c>
      <x:c r="H10" s="20" t="str">
        <x:v>00B_ABS_phone_station_fit_tests.3mf</x:v>
      </x:c>
      <x:c r="I10" s="20" t="str">
        <x:v>26.0 x 90.0 x 16.0</x:v>
      </x:c>
      <x:c r="J10" s="23" t="str">
        <x:v>29.16</x:v>
      </x:c>
      <x:c r="K10" s="20" t="str">
        <x:v>PASS</x:v>
      </x:c>
      <x:c r="L10" s="20" t="str">
        <x:v>ABS phone fit, locator, captive M4 nut, profile-specific M3 insert, cable-saddle, and washer qualification using the exact service-station profile</x:v>
      </x:c>
    </x:row>
    <x:row r="11">
      <x:c r="A11" s="16" t="str">
        <x:v>phone_m3_insert_fit_gauge.stl</x:v>
      </x:c>
      <x:c r="B11" s="26" t="n">
        <x:v>1</x:v>
      </x:c>
      <x:c r="C11" s="16" t="str">
        <x:v>00B</x:v>
      </x:c>
      <x:c r="D11" s="16" t="str">
        <x:v>diagnostic</x:v>
      </x:c>
      <x:c r="E11" s="16" t="str">
        <x:v>required</x:v>
      </x:c>
      <x:c r="F11" s="16" t="str">
        <x:v>abs_rapido_cradle_0p4</x:v>
      </x:c>
      <x:c r="G11" s="16" t="str">
        <x:v>QIDI ABS Rapido</x:v>
      </x:c>
      <x:c r="H11" s="16" t="str">
        <x:v>00B_ABS_phone_station_fit_tests.3mf</x:v>
      </x:c>
      <x:c r="I11" s="16" t="str">
        <x:v>78.0 x 30.0 x 6.5</x:v>
      </x:c>
      <x:c r="J11" s="22" t="str">
        <x:v>14.8</x:v>
      </x:c>
      <x:c r="K11" s="16" t="str">
        <x:v>PASS</x:v>
      </x:c>
      <x:c r="L11" s="16" t="str">
        <x:v>ABS phone fit, locator, captive M4 nut, profile-specific M3 insert, cable-saddle, and washer qualification using the exact service-station profile</x:v>
      </x:c>
    </x:row>
    <x:row r="12">
      <x:c r="A12" s="20" t="str">
        <x:v>cable_tie_saddle_fit_gauge.stl</x:v>
      </x:c>
      <x:c r="B12" s="27" t="n">
        <x:v>1</x:v>
      </x:c>
      <x:c r="C12" s="20" t="str">
        <x:v>00B</x:v>
      </x:c>
      <x:c r="D12" s="20" t="str">
        <x:v>diagnostic</x:v>
      </x:c>
      <x:c r="E12" s="20" t="str">
        <x:v>required</x:v>
      </x:c>
      <x:c r="F12" s="20" t="str">
        <x:v>abs_rapido_cradle_0p4</x:v>
      </x:c>
      <x:c r="G12" s="20" t="str">
        <x:v>QIDI ABS Rapido</x:v>
      </x:c>
      <x:c r="H12" s="20" t="str">
        <x:v>00B_ABS_phone_station_fit_tests.3mf</x:v>
      </x:c>
      <x:c r="I12" s="20" t="str">
        <x:v>84.0 x 30.0 x 7.0</x:v>
      </x:c>
      <x:c r="J12" s="23" t="str">
        <x:v>11.11</x:v>
      </x:c>
      <x:c r="K12" s="20" t="str">
        <x:v>PASS</x:v>
      </x:c>
      <x:c r="L12" s="20" t="str">
        <x:v>ABS phone fit, locator, captive M4 nut, profile-specific M3 insert, cable-saddle, and washer qualification using the exact service-station profile</x:v>
      </x:c>
    </x:row>
    <x:row r="13">
      <x:c r="A13" s="16" t="str">
        <x:v>m4_washer_fit_gauge.stl</x:v>
      </x:c>
      <x:c r="B13" s="26" t="n">
        <x:v>1</x:v>
      </x:c>
      <x:c r="C13" s="16" t="str">
        <x:v>00B</x:v>
      </x:c>
      <x:c r="D13" s="16" t="str">
        <x:v>diagnostic</x:v>
      </x:c>
      <x:c r="E13" s="16" t="str">
        <x:v>required</x:v>
      </x:c>
      <x:c r="F13" s="16" t="str">
        <x:v>abs_rapido_cradle_0p4</x:v>
      </x:c>
      <x:c r="G13" s="16" t="str">
        <x:v>QIDI ABS Rapido</x:v>
      </x:c>
      <x:c r="H13" s="16" t="str">
        <x:v>00B_ABS_phone_station_fit_tests.3mf</x:v>
      </x:c>
      <x:c r="I13" s="16" t="str">
        <x:v>78.0 x 30.0 x 6.0</x:v>
      </x:c>
      <x:c r="J13" s="22" t="str">
        <x:v>13.57</x:v>
      </x:c>
      <x:c r="K13" s="16" t="str">
        <x:v>PASS</x:v>
      </x:c>
      <x:c r="L13" s="16" t="str">
        <x:v>ABS phone fit, locator, captive M4 nut, profile-specific M3 insert, cable-saddle, and washer qualification using the exact service-station profile</x:v>
      </x:c>
    </x:row>
    <x:row r="14">
      <x:c r="A14" s="20" t="str">
        <x:v>compliant_tool_grip_fit_test.stl</x:v>
      </x:c>
      <x:c r="B14" s="27" t="n">
        <x:v>1</x:v>
      </x:c>
      <x:c r="C14" s="20" t="str">
        <x:v>00C</x:v>
      </x:c>
      <x:c r="D14" s="20" t="str">
        <x:v>diagnostic</x:v>
      </x:c>
      <x:c r="E14" s="20" t="str">
        <x:v>required</x:v>
      </x:c>
      <x:c r="F14" s="20" t="str">
        <x:v>abs_rapido_precision_0p4</x:v>
      </x:c>
      <x:c r="G14" s="20" t="str">
        <x:v>QIDI ABS Rapido</x:v>
      </x:c>
      <x:c r="H14" s="20" t="str">
        <x:v>00C_ABS_tool_profile_fit_tests.3mf</x:v>
      </x:c>
      <x:c r="I14" s="20" t="str">
        <x:v>28.0 x 24.0 x 34.0</x:v>
      </x:c>
      <x:c r="J14" s="23" t="str">
        <x:v>21.38</x:v>
      </x:c>
      <x:c r="K14" s="20" t="str">
        <x:v>PASS</x:v>
      </x:c>
      <x:c r="L14" s="20" t="str">
        <x:v>ABS RoArm grip, stepped spring seat, profile-specific M3 insert, and M3 head tests using the exact tool profile</x:v>
      </x:c>
    </x:row>
    <x:row r="15">
      <x:c r="A15" s="16" t="str">
        <x:v>spring_fit_gauge.stl</x:v>
      </x:c>
      <x:c r="B15" s="26" t="n">
        <x:v>1</x:v>
      </x:c>
      <x:c r="C15" s="16" t="str">
        <x:v>00C</x:v>
      </x:c>
      <x:c r="D15" s="16" t="str">
        <x:v>diagnostic</x:v>
      </x:c>
      <x:c r="E15" s="16" t="str">
        <x:v>required</x:v>
      </x:c>
      <x:c r="F15" s="16" t="str">
        <x:v>abs_rapido_precision_0p4</x:v>
      </x:c>
      <x:c r="G15" s="16" t="str">
        <x:v>QIDI ABS Rapido</x:v>
      </x:c>
      <x:c r="H15" s="16" t="str">
        <x:v>00C_ABS_tool_profile_fit_tests.3mf</x:v>
      </x:c>
      <x:c r="I15" s="16" t="str">
        <x:v>30.0 x 30.0 x 14.0</x:v>
      </x:c>
      <x:c r="J15" s="22" t="str">
        <x:v>11.15</x:v>
      </x:c>
      <x:c r="K15" s="16" t="str">
        <x:v>PASS</x:v>
      </x:c>
      <x:c r="L15" s="16" t="str">
        <x:v>ABS RoArm grip, stepped spring seat, profile-specific M3 insert, and M3 head tests using the exact tool profile</x:v>
      </x:c>
    </x:row>
    <x:row r="16">
      <x:c r="A16" s="20" t="str">
        <x:v>tool_m3_insert_fit_gauge.stl</x:v>
      </x:c>
      <x:c r="B16" s="27" t="n">
        <x:v>1</x:v>
      </x:c>
      <x:c r="C16" s="20" t="str">
        <x:v>00C</x:v>
      </x:c>
      <x:c r="D16" s="20" t="str">
        <x:v>diagnostic</x:v>
      </x:c>
      <x:c r="E16" s="20" t="str">
        <x:v>required</x:v>
      </x:c>
      <x:c r="F16" s="20" t="str">
        <x:v>abs_rapido_precision_0p4</x:v>
      </x:c>
      <x:c r="G16" s="20" t="str">
        <x:v>QIDI ABS Rapido</x:v>
      </x:c>
      <x:c r="H16" s="20" t="str">
        <x:v>00C_ABS_tool_profile_fit_tests.3mf</x:v>
      </x:c>
      <x:c r="I16" s="20" t="str">
        <x:v>78.0 x 26.0 x 8.0</x:v>
      </x:c>
      <x:c r="J16" s="23" t="str">
        <x:v>13.22</x:v>
      </x:c>
      <x:c r="K16" s="20" t="str">
        <x:v>PASS</x:v>
      </x:c>
      <x:c r="L16" s="20" t="str">
        <x:v>ABS RoArm grip, stepped spring seat, profile-specific M3 insert, and M3 head tests using the exact tool profile</x:v>
      </x:c>
    </x:row>
    <x:row r="17">
      <x:c r="A17" s="16" t="str">
        <x:v>m3_head_fit_gauge.stl</x:v>
      </x:c>
      <x:c r="B17" s="26" t="n">
        <x:v>1</x:v>
      </x:c>
      <x:c r="C17" s="16" t="str">
        <x:v>00C</x:v>
      </x:c>
      <x:c r="D17" s="16" t="str">
        <x:v>diagnostic</x:v>
      </x:c>
      <x:c r="E17" s="16" t="str">
        <x:v>required</x:v>
      </x:c>
      <x:c r="F17" s="16" t="str">
        <x:v>abs_rapido_precision_0p4</x:v>
      </x:c>
      <x:c r="G17" s="16" t="str">
        <x:v>QIDI ABS Rapido</x:v>
      </x:c>
      <x:c r="H17" s="16" t="str">
        <x:v>00C_ABS_tool_profile_fit_tests.3mf</x:v>
      </x:c>
      <x:c r="I17" s="16" t="str">
        <x:v>78.0 x 30.0 x 6.0</x:v>
      </x:c>
      <x:c r="J17" s="22" t="str">
        <x:v>13.66</x:v>
      </x:c>
      <x:c r="K17" s="16" t="str">
        <x:v>PASS</x:v>
      </x:c>
      <x:c r="L17" s="16" t="str">
        <x:v>ABS RoArm grip, stepped spring seat, profile-specific M3 insert, and M3 head tests using the exact tool profile</x:v>
      </x:c>
    </x:row>
    <x:row r="18">
      <x:c r="A18" s="20" t="str">
        <x:v>stylus_diameter_gauge.stl</x:v>
      </x:c>
      <x:c r="B18" s="27" t="n">
        <x:v>1</x:v>
      </x:c>
      <x:c r="C18" s="20" t="str">
        <x:v>00D</x:v>
      </x:c>
      <x:c r="D18" s="20" t="str">
        <x:v>diagnostic</x:v>
      </x:c>
      <x:c r="E18" s="20" t="str">
        <x:v>phone_stylus_route</x:v>
      </x:c>
      <x:c r="F18" s="20" t="str">
        <x:v>petg_adapter_0p4</x:v>
      </x:c>
      <x:c r="G18" s="20" t="str">
        <x:v>PETG</x:v>
      </x:c>
      <x:c r="H18" s="20" t="str">
        <x:v>00D_PETG_adapter_profile_fit_tests.3mf</x:v>
      </x:c>
      <x:c r="I18" s="20" t="str">
        <x:v>92.0 x 28.0 x 4.0</x:v>
      </x:c>
      <x:c r="J18" s="23" t="str">
        <x:v>8.91</x:v>
      </x:c>
      <x:c r="K18" s="20" t="str">
        <x:v>PASS</x:v>
      </x:c>
      <x:c r="L18" s="20" t="str">
        <x:v>Phone-stylus-route sliding-fit qualification using the exact adapter profile</x:v>
      </x:c>
    </x:row>
    <x:row r="19">
      <x:c r="A19" s="16" t="str">
        <x:v>hardware_fit_gauge.stl</x:v>
      </x:c>
      <x:c r="B19" s="26" t="n">
        <x:v>1</x:v>
      </x:c>
      <x:c r="C19" s="16" t="str">
        <x:v>00E</x:v>
      </x:c>
      <x:c r="D19" s="16" t="str">
        <x:v>diagnostic</x:v>
      </x:c>
      <x:c r="E19" s="16" t="str">
        <x:v>required</x:v>
      </x:c>
      <x:c r="F19" s="16" t="str">
        <x:v>abs_rapido_general_0p4</x:v>
      </x:c>
      <x:c r="G19" s="16" t="str">
        <x:v>QIDI ABS Rapido</x:v>
      </x:c>
      <x:c r="H19" s="16" t="str">
        <x:v>00E_ABS_general_setup_tests.3mf</x:v>
      </x:c>
      <x:c r="I19" s="16" t="str">
        <x:v>160.0 x 30.0 x 6.0</x:v>
      </x:c>
      <x:c r="J19" s="22" t="str">
        <x:v>27.82</x:v>
      </x:c>
      <x:c r="K19" s="16" t="str">
        <x:v>PASS</x:v>
      </x:c>
      <x:c r="L19" s="16" t="str">
        <x:v>ABS general clearance, screw-head, washer, camera-hex, and TPU-retention setup tests</x:v>
      </x:c>
    </x:row>
    <x:row r="20">
      <x:c r="A20" s="20" t="str">
        <x:v>setup_hardware_fit_gauge.stl</x:v>
      </x:c>
      <x:c r="B20" s="27" t="n">
        <x:v>1</x:v>
      </x:c>
      <x:c r="C20" s="20" t="str">
        <x:v>00E</x:v>
      </x:c>
      <x:c r="D20" s="20" t="str">
        <x:v>diagnostic</x:v>
      </x:c>
      <x:c r="E20" s="20" t="str">
        <x:v>required</x:v>
      </x:c>
      <x:c r="F20" s="20" t="str">
        <x:v>abs_rapido_general_0p4</x:v>
      </x:c>
      <x:c r="G20" s="20" t="str">
        <x:v>QIDI ABS Rapido</x:v>
      </x:c>
      <x:c r="H20" s="20" t="str">
        <x:v>00E_ABS_general_setup_tests.3mf</x:v>
      </x:c>
      <x:c r="I20" s="20" t="str">
        <x:v>160.0 x 84.0 x 8.0</x:v>
      </x:c>
      <x:c r="J20" s="23" t="str">
        <x:v>104.21</x:v>
      </x:c>
      <x:c r="K20" s="20" t="str">
        <x:v>PASS</x:v>
      </x:c>
      <x:c r="L20" s="20" t="str">
        <x:v>ABS general clearance, screw-head, washer, camera-hex, and TPU-retention setup tests</x:v>
      </x:c>
    </x:row>
    <x:row r="21">
      <x:c r="A21" s="16" t="str">
        <x:v>tpu_tip_retention_gauge.stl</x:v>
      </x:c>
      <x:c r="B21" s="26" t="n">
        <x:v>1</x:v>
      </x:c>
      <x:c r="C21" s="16" t="str">
        <x:v>00E</x:v>
      </x:c>
      <x:c r="D21" s="16" t="str">
        <x:v>diagnostic</x:v>
      </x:c>
      <x:c r="E21" s="16" t="str">
        <x:v>required</x:v>
      </x:c>
      <x:c r="F21" s="16" t="str">
        <x:v>abs_rapido_general_0p4</x:v>
      </x:c>
      <x:c r="G21" s="16" t="str">
        <x:v>QIDI ABS Rapido</x:v>
      </x:c>
      <x:c r="H21" s="16" t="str">
        <x:v>00E_ABS_general_setup_tests.3mf</x:v>
      </x:c>
      <x:c r="I21" s="16" t="str">
        <x:v>38.0 x 22.0 x 14.0</x:v>
      </x:c>
      <x:c r="J21" s="22" t="str">
        <x:v>2.89</x:v>
      </x:c>
      <x:c r="K21" s="16" t="str">
        <x:v>PASS</x:v>
      </x:c>
      <x:c r="L21" s="16" t="str">
        <x:v>ABS general clearance, screw-head, washer, camera-hex, and TPU-retention setup tests</x:v>
      </x:c>
    </x:row>
    <x:row r="22">
      <x:c r="A22" s="20" t="str">
        <x:v>hardware_fit_gauge.stl</x:v>
      </x:c>
      <x:c r="B22" s="27" t="n">
        <x:v>1</x:v>
      </x:c>
      <x:c r="C22" s="20" t="str">
        <x:v>00F</x:v>
      </x:c>
      <x:c r="D22" s="20" t="str">
        <x:v>diagnostic</x:v>
      </x:c>
      <x:c r="E22" s="20" t="str">
        <x:v>required</x:v>
      </x:c>
      <x:c r="F22" s="20" t="str">
        <x:v>abs_rapido_calibration_0p4</x:v>
      </x:c>
      <x:c r="G22" s="20" t="str">
        <x:v>QIDI ABS Rapido</x:v>
      </x:c>
      <x:c r="H22" s="20" t="str">
        <x:v>00F_ABS_calibration_profile_clearance_test.3mf</x:v>
      </x:c>
      <x:c r="I22" s="20" t="str">
        <x:v>160.0 x 30.0 x 6.0</x:v>
      </x:c>
      <x:c r="J22" s="23" t="str">
        <x:v>27.82</x:v>
      </x:c>
      <x:c r="K22" s="20" t="str">
        <x:v>PASS</x:v>
      </x:c>
      <x:c r="L22" s="20" t="str">
        <x:v>ABS M3 clearance and M3 button-head recess verification using the exact fine-layer calibration-puck profile</x:v>
      </x:c>
    </x:row>
    <x:row r="23">
      <x:c r="A23" s="16" t="str">
        <x:v>m3_head_fit_gauge.stl</x:v>
      </x:c>
      <x:c r="B23" s="26" t="n">
        <x:v>1</x:v>
      </x:c>
      <x:c r="C23" s="16" t="str">
        <x:v>00F</x:v>
      </x:c>
      <x:c r="D23" s="16" t="str">
        <x:v>diagnostic</x:v>
      </x:c>
      <x:c r="E23" s="16" t="str">
        <x:v>required</x:v>
      </x:c>
      <x:c r="F23" s="16" t="str">
        <x:v>abs_rapido_calibration_0p4</x:v>
      </x:c>
      <x:c r="G23" s="16" t="str">
        <x:v>QIDI ABS Rapido</x:v>
      </x:c>
      <x:c r="H23" s="16" t="str">
        <x:v>00F_ABS_calibration_profile_clearance_test.3mf</x:v>
      </x:c>
      <x:c r="I23" s="16" t="str">
        <x:v>78.0 x 30.0 x 6.0</x:v>
      </x:c>
      <x:c r="J23" s="22" t="str">
        <x:v>13.66</x:v>
      </x:c>
      <x:c r="K23" s="16" t="str">
        <x:v>PASS</x:v>
      </x:c>
      <x:c r="L23" s="16" t="str">
        <x:v>ABS M3 clearance and M3 button-head recess verification using the exact fine-layer calibration-puck profile</x:v>
      </x:c>
    </x:row>
    <x:row r="24">
      <x:c r="A24" s="20" t="str">
        <x:v>keyboard_station_left.stl</x:v>
      </x:c>
      <x:c r="B24" s="27" t="n">
        <x:v>1</x:v>
      </x:c>
      <x:c r="C24" s="20" t="str">
        <x:v>01</x:v>
      </x:c>
      <x:c r="D24" s="20" t="str">
        <x:v>first_article</x:v>
      </x:c>
      <x:c r="E24" s="20" t="str">
        <x:v>required</x:v>
      </x:c>
      <x:c r="F24" s="20" t="str">
        <x:v>abs_rapido_tray_structural_0p4</x:v>
      </x:c>
      <x:c r="G24" s="20" t="str">
        <x:v>QIDI ABS Rapido</x:v>
      </x:c>
      <x:c r="H24" s="20" t="str">
        <x:v>01_ABS_keyboard_station_left.3mf</x:v>
      </x:c>
      <x:c r="I24" s="20" t="str">
        <x:v>184.5 x 192.0 x 7.0</x:v>
      </x:c>
      <x:c r="J24" s="23" t="str">
        <x:v>35.18</x:v>
      </x:c>
      <x:c r="K24" s="20" t="str">
        <x:v>PASS</x:v>
      </x:c>
      <x:c r="L24" s="20" t="str">
        <x:v>ABS left master keyboard station with integrated datums, locator sockets, clamp track, and seam posts</x:v>
      </x:c>
    </x:row>
    <x:row r="25">
      <x:c r="A25" s="16" t="str">
        <x:v>keyboard_station_right.stl</x:v>
      </x:c>
      <x:c r="B25" s="26" t="n">
        <x:v>1</x:v>
      </x:c>
      <x:c r="C25" s="16" t="str">
        <x:v>02</x:v>
      </x:c>
      <x:c r="D25" s="16" t="str">
        <x:v>production</x:v>
      </x:c>
      <x:c r="E25" s="16" t="str">
        <x:v>required</x:v>
      </x:c>
      <x:c r="F25" s="16" t="str">
        <x:v>abs_rapido_tray_structural_0p4</x:v>
      </x:c>
      <x:c r="G25" s="16" t="str">
        <x:v>QIDI ABS Rapido</x:v>
      </x:c>
      <x:c r="H25" s="16" t="str">
        <x:v>02_ABS_keyboard_station_right.3mf</x:v>
      </x:c>
      <x:c r="I25" s="16" t="str">
        <x:v>162.5 x 192.0 x 7.0</x:v>
      </x:c>
      <x:c r="J25" s="22" t="str">
        <x:v>32.25</x:v>
      </x:c>
      <x:c r="K25" s="16" t="str">
        <x:v>PASS</x:v>
      </x:c>
      <x:c r="L25" s="16" t="str">
        <x:v>ABS right slave keyboard station located from the accepted left-station seam</x:v>
      </x:c>
    </x:row>
    <x:row r="26">
      <x:c r="A26" s="20" t="str">
        <x:v>phone_tcp_station.stl</x:v>
      </x:c>
      <x:c r="B26" s="27" t="n">
        <x:v>1</x:v>
      </x:c>
      <x:c r="C26" s="20" t="str">
        <x:v>03A</x:v>
      </x:c>
      <x:c r="D26" s="20" t="str">
        <x:v>first_article</x:v>
      </x:c>
      <x:c r="E26" s="20" t="str">
        <x:v>required</x:v>
      </x:c>
      <x:c r="F26" s="20" t="str">
        <x:v>abs_rapido_cradle_0p4</x:v>
      </x:c>
      <x:c r="G26" s="20" t="str">
        <x:v>QIDI ABS Rapido</x:v>
      </x:c>
      <x:c r="H26" s="20" t="str">
        <x:v>03A_ABS_phone_TCP_station.3mf</x:v>
      </x:c>
      <x:c r="I26" s="20" t="str">
        <x:v>186.3 x 172.8 x 10.5</x:v>
      </x:c>
      <x:c r="J26" s="23" t="str">
        <x:v>75.38</x:v>
      </x:c>
      <x:c r="K26" s="20" t="str">
        <x:v>PASS</x:v>
      </x:c>
      <x:c r="L26" s="20" t="str">
        <x:v>Integrated ABS phone and TCP service station with fixed datums, keyed receiver, and replaceable-rail interface</x:v>
      </x:c>
    </x:row>
    <x:row r="27">
      <x:c r="A27" s="16" t="str">
        <x:v>keyboard_rear_clamp.stl</x:v>
      </x:c>
      <x:c r="B27" s="26" t="n">
        <x:v>2</x:v>
      </x:c>
      <x:c r="C27" s="16" t="str">
        <x:v>03B</x:v>
      </x:c>
      <x:c r="D27" s="16" t="str">
        <x:v>production</x:v>
      </x:c>
      <x:c r="E27" s="16" t="str">
        <x:v>required</x:v>
      </x:c>
      <x:c r="F27" s="16" t="str">
        <x:v>abs_rapido_general_0p4</x:v>
      </x:c>
      <x:c r="G27" s="16" t="str">
        <x:v>QIDI ABS Rapido</x:v>
      </x:c>
      <x:c r="H27" s="16" t="str">
        <x:v>03B_ABS_keyboard_clamps.3mf</x:v>
      </x:c>
      <x:c r="I27" s="16" t="str">
        <x:v>52.0 x 32.0 x 17.0</x:v>
      </x:c>
      <x:c r="J27" s="22" t="str">
        <x:v>9.16</x:v>
      </x:c>
      <x:c r="K27" s="16" t="str">
        <x:v>PASS</x:v>
      </x:c>
      <x:c r="L27" s="16" t="str">
        <x:v>Two replaceable ABS guided keyboard rear clamp sliders</x:v>
      </x:c>
    </x:row>
    <x:row r="28">
      <x:c r="A28" s="20" t="str">
        <x:v>phone_clamp_rail.stl</x:v>
      </x:c>
      <x:c r="B28" s="27" t="n">
        <x:v>1</x:v>
      </x:c>
      <x:c r="C28" s="20" t="str">
        <x:v>03C1</x:v>
      </x:c>
      <x:c r="D28" s="20" t="str">
        <x:v>first_article</x:v>
      </x:c>
      <x:c r="E28" s="20" t="str">
        <x:v>required</x:v>
      </x:c>
      <x:c r="F28" s="20" t="str">
        <x:v>abs_rapido_cradle_0p4</x:v>
      </x:c>
      <x:c r="G28" s="20" t="str">
        <x:v>QIDI ABS Rapido</x:v>
      </x:c>
      <x:c r="H28" s="20" t="str">
        <x:v>03C1_ABS_phone_clamp_rail.3mf</x:v>
      </x:c>
      <x:c r="I28" s="20" t="str">
        <x:v>19.2 x 172.8 x 16.0</x:v>
      </x:c>
      <x:c r="J28" s="23" t="str">
        <x:v>22.7</x:v>
      </x:c>
      <x:c r="K28" s="20" t="str">
        <x:v>PASS</x:v>
      </x:c>
      <x:c r="L28" s="20" t="str">
        <x:v>Replaceable ABS phone keeper and clamp-tower rail for the integrated service station</x:v>
      </x:c>
    </x:row>
    <x:row r="29">
      <x:c r="A29" s="16" t="str">
        <x:v>tag_application_frame_55mm.stl</x:v>
      </x:c>
      <x:c r="B29" s="26" t="n">
        <x:v>1</x:v>
      </x:c>
      <x:c r="C29" s="16" t="str">
        <x:v>03C2</x:v>
      </x:c>
      <x:c r="D29" s="16" t="str">
        <x:v>production</x:v>
      </x:c>
      <x:c r="E29" s="16" t="str">
        <x:v>required</x:v>
      </x:c>
      <x:c r="F29" s="16" t="str">
        <x:v>abs_rapido_general_0p4</x:v>
      </x:c>
      <x:c r="G29" s="16" t="str">
        <x:v>QIDI ABS Rapido</x:v>
      </x:c>
      <x:c r="H29" s="16" t="str">
        <x:v>03C2_ABS_board_setup_tools.3mf</x:v>
      </x:c>
      <x:c r="I29" s="16" t="str">
        <x:v>75.0 x 75.0 x 2.4</x:v>
      </x:c>
      <x:c r="J29" s="22" t="str">
        <x:v>6.08</x:v>
      </x:c>
      <x:c r="K29" s="16" t="str">
        <x:v>PASS</x:v>
      </x:c>
      <x:c r="L29" s="16" t="str">
        <x:v>Reusable ABS 55 mm direct-tag application frame and board setup tooling</x:v>
      </x:c>
    </x:row>
    <x:row r="30">
      <x:c r="A30" s="20" t="str">
        <x:v>camera_plate_universal.stl</x:v>
      </x:c>
      <x:c r="B30" s="27" t="n">
        <x:v>1</x:v>
      </x:c>
      <x:c r="C30" s="20" t="str">
        <x:v>03C3</x:v>
      </x:c>
      <x:c r="D30" s="20" t="str">
        <x:v>production</x:v>
      </x:c>
      <x:c r="E30" s="20" t="str">
        <x:v>camera_mast_optional</x:v>
      </x:c>
      <x:c r="F30" s="20" t="str">
        <x:v>petg_general_0p4</x:v>
      </x:c>
      <x:c r="G30" s="20" t="str">
        <x:v>PETG</x:v>
      </x:c>
      <x:c r="H30" s="20" t="str">
        <x:v>03C3_PETG_camera_plate.3mf</x:v>
      </x:c>
      <x:c r="I30" s="20" t="str">
        <x:v>90.0 x 55.0 x 6.0</x:v>
      </x:c>
      <x:c r="J30" s="23" t="str">
        <x:v>26.69</x:v>
      </x:c>
      <x:c r="K30" s="20" t="str">
        <x:v>PASS</x:v>
      </x:c>
      <x:c r="L30" s="20" t="str">
        <x:v>Fixed-mast fallback camera plate; not an arm-camera adapter and not released while the camera architecture hold is open</x:v>
      </x:c>
    </x:row>
    <x:row r="31">
      <x:c r="A31" s="16" t="str">
        <x:v>calibration_puck.stl</x:v>
      </x:c>
      <x:c r="B31" s="26" t="n">
        <x:v>2</x:v>
      </x:c>
      <x:c r="C31" s="16" t="str">
        <x:v>03D</x:v>
      </x:c>
      <x:c r="D31" s="16" t="str">
        <x:v>first_article</x:v>
      </x:c>
      <x:c r="E31" s="16" t="str">
        <x:v>required</x:v>
      </x:c>
      <x:c r="F31" s="16" t="str">
        <x:v>abs_rapido_calibration_0p4</x:v>
      </x:c>
      <x:c r="G31" s="16" t="str">
        <x:v>QIDI ABS Rapido</x:v>
      </x:c>
      <x:c r="H31" s="16" t="str">
        <x:v>03D_ABS_TCP_datum_cartridges.3mf</x:v>
      </x:c>
      <x:c r="I31" s="16" t="str">
        <x:v>30.0 x 30.0 x 4.0</x:v>
      </x:c>
      <x:c r="J31" s="22" t="str">
        <x:v>3.32</x:v>
      </x:c>
      <x:c r="K31" s="16" t="str">
        <x:v>PASS</x:v>
      </x:c>
      <x:c r="L31" s="16" t="str">
        <x:v>Two keyed ABS TCP datum cartridges: one selected INSTALL datum and one qualified recalibration-required SPARE</x:v>
      </x:c>
    </x:row>
    <x:row r="32">
      <x:c r="A32" s="20" t="str">
        <x:v>compliant_tool_body.stl</x:v>
      </x:c>
      <x:c r="B32" s="27" t="n">
        <x:v>1</x:v>
      </x:c>
      <x:c r="C32" s="20" t="str">
        <x:v>04A</x:v>
      </x:c>
      <x:c r="D32" s="20" t="str">
        <x:v>route</x:v>
      </x:c>
      <x:c r="E32" s="20" t="str">
        <x:v>any_tool_route</x:v>
      </x:c>
      <x:c r="F32" s="20" t="str">
        <x:v>abs_rapido_precision_0p4</x:v>
      </x:c>
      <x:c r="G32" s="20" t="str">
        <x:v>QIDI ABS Rapido</x:v>
      </x:c>
      <x:c r="H32" s="20" t="str">
        <x:v>04A_ABS_shared_compliant_tool.3mf</x:v>
      </x:c>
      <x:c r="I32" s="20" t="str">
        <x:v>28.0 x 24.0 x 66.2</x:v>
      </x:c>
      <x:c r="J32" s="23" t="str">
        <x:v>34.51</x:v>
      </x:c>
      <x:c r="K32" s="20" t="str">
        <x:v>PASS</x:v>
      </x:c>
      <x:c r="L32" s="20" t="str">
        <x:v>Shared ABS compliant tool body with keyed cap and one spare cap</x:v>
      </x:c>
    </x:row>
    <x:row r="33">
      <x:c r="A33" s="16" t="str">
        <x:v>compliant_tool_top_cap.stl</x:v>
      </x:c>
      <x:c r="B33" s="26" t="n">
        <x:v>2</x:v>
      </x:c>
      <x:c r="C33" s="16" t="str">
        <x:v>04A</x:v>
      </x:c>
      <x:c r="D33" s="16" t="str">
        <x:v>route</x:v>
      </x:c>
      <x:c r="E33" s="16" t="str">
        <x:v>any_tool_route</x:v>
      </x:c>
      <x:c r="F33" s="16" t="str">
        <x:v>abs_rapido_precision_0p4</x:v>
      </x:c>
      <x:c r="G33" s="16" t="str">
        <x:v>QIDI ABS Rapido</x:v>
      </x:c>
      <x:c r="H33" s="16" t="str">
        <x:v>04A_ABS_shared_compliant_tool.3mf</x:v>
      </x:c>
      <x:c r="I33" s="16" t="str">
        <x:v>28.0 x 24.0 x 5.0</x:v>
      </x:c>
      <x:c r="J33" s="22" t="str">
        <x:v>2.61</x:v>
      </x:c>
      <x:c r="K33" s="16" t="str">
        <x:v>PASS</x:v>
      </x:c>
      <x:c r="L33" s="16" t="str">
        <x:v>Shared ABS compliant tool body with keyed cap and one spare cap</x:v>
      </x:c>
    </x:row>
    <x:row r="34">
      <x:c r="A34" s="20" t="str">
        <x:v>stylus_collar_9mm.stl</x:v>
      </x:c>
      <x:c r="B34" s="27" t="n">
        <x:v>2</x:v>
      </x:c>
      <x:c r="C34" s="20" t="str">
        <x:v>04B</x:v>
      </x:c>
      <x:c r="D34" s="20" t="str">
        <x:v>route</x:v>
      </x:c>
      <x:c r="E34" s="20" t="str">
        <x:v>phone_stylus_route</x:v>
      </x:c>
      <x:c r="F34" s="20" t="str">
        <x:v>petg_adapter_0p4</x:v>
      </x:c>
      <x:c r="G34" s="20" t="str">
        <x:v>PETG</x:v>
      </x:c>
      <x:c r="H34" s="20" t="str">
        <x:v>04B_PETG_phone_stylus_adapters.3mf</x:v>
      </x:c>
      <x:c r="I34" s="20" t="str">
        <x:v>13.6 x 13.572 x 5.5</x:v>
      </x:c>
      <x:c r="J34" s="23" t="str">
        <x:v>0.41</x:v>
      </x:c>
      <x:c r="K34" s="20" t="str">
        <x:v>PASS</x:v>
      </x:c>
      <x:c r="L34" s="20" t="str">
        <x:v>Two phone-route stylus collars for thin-wall retention qualification and one spare</x:v>
      </x:c>
    </x:row>
    <x:row r="35">
      <x:c r="A35" s="16" t="str">
        <x:v>rod_bushing_6_to_9mm.stl</x:v>
      </x:c>
      <x:c r="B35" s="26" t="n">
        <x:v>2</x:v>
      </x:c>
      <x:c r="C35" s="16" t="str">
        <x:v>04C</x:v>
      </x:c>
      <x:c r="D35" s="16" t="str">
        <x:v>route</x:v>
      </x:c>
      <x:c r="E35" s="16" t="str">
        <x:v>keyboard_rod_route</x:v>
      </x:c>
      <x:c r="F35" s="16" t="str">
        <x:v>petg_adapter_0p4</x:v>
      </x:c>
      <x:c r="G35" s="16" t="str">
        <x:v>PETG</x:v>
      </x:c>
      <x:c r="H35" s="16" t="str">
        <x:v>04C_PETG_keyboard_rod_adapters.3mf</x:v>
      </x:c>
      <x:c r="I35" s="16" t="str">
        <x:v>13.5 x 13.497 x 38.8</x:v>
      </x:c>
      <x:c r="J35" s="22" t="str">
        <x:v>1.45</x:v>
      </x:c>
      <x:c r="K35" s="16" t="str">
        <x:v>PASS</x:v>
      </x:c>
      <x:c r="L35" s="16" t="str">
        <x:v>Two keyboard-route rod bushings for retention qualification and one spare</x:v>
      </x:c>
    </x:row>
    <x:row r="36">
      <x:c r="A36" s="20" t="str">
        <x:v>phone_clamp_tip_TPU_M4.stl</x:v>
      </x:c>
      <x:c r="B36" s="27" t="n">
        <x:v>1</x:v>
      </x:c>
      <x:c r="C36" s="20" t="str">
        <x:v>05A</x:v>
      </x:c>
      <x:c r="D36" s="20" t="str">
        <x:v>first_article</x:v>
      </x:c>
      <x:c r="E36" s="20" t="str">
        <x:v>required</x:v>
      </x:c>
      <x:c r="F36" s="20" t="str">
        <x:v>tpu95a_0p4</x:v>
      </x:c>
      <x:c r="G36" s="20" t="str">
        <x:v>TPU 95A</x:v>
      </x:c>
      <x:c r="H36" s="20" t="str">
        <x:v>05A_TPU_phone_tip_first_article.3mf</x:v>
      </x:c>
      <x:c r="I36" s="20" t="str">
        <x:v>7.5 x 7.499 x 8.0</x:v>
      </x:c>
      <x:c r="J36" s="23" t="str">
        <x:v>0.24</x:v>
      </x:c>
      <x:c r="K36" s="20" t="str">
        <x:v>PASS</x:v>
      </x:c>
      <x:c r="L36" s="20" t="str">
        <x:v>One phone TPU tip for dimensional and pull-off acceptance</x:v>
      </x:c>
    </x:row>
    <x:row r="37">
      <x:c r="A37" s="16" t="str">
        <x:v>phone_clamp_tip_TPU_M4.stl</x:v>
      </x:c>
      <x:c r="B37" s="26" t="n">
        <x:v>3</x:v>
      </x:c>
      <x:c r="C37" s="16" t="str">
        <x:v>05B</x:v>
      </x:c>
      <x:c r="D37" s="16" t="str">
        <x:v>production</x:v>
      </x:c>
      <x:c r="E37" s="16" t="str">
        <x:v>required</x:v>
      </x:c>
      <x:c r="F37" s="16" t="str">
        <x:v>tpu95a_0p4</x:v>
      </x:c>
      <x:c r="G37" s="16" t="str">
        <x:v>TPU 95A</x:v>
      </x:c>
      <x:c r="H37" s="16" t="str">
        <x:v>05B_TPU_phone_tips_and_spares.3mf</x:v>
      </x:c>
      <x:c r="I37" s="16" t="str">
        <x:v>7.5 x 7.499 x 8.0</x:v>
      </x:c>
      <x:c r="J37" s="22" t="str">
        <x:v>0.24</x:v>
      </x:c>
      <x:c r="K37" s="16" t="str">
        <x:v>PASS</x:v>
      </x:c>
      <x:c r="L37" s="16" t="str">
        <x:v>Three additional phone TPU tips, yielding two installed and two total spares</x:v>
      </x:c>
    </x:row>
    <x:row r="38">
      <x:c r="A38" s="20" t="str">
        <x:v>keyboard_tip_TPU_6mm.stl</x:v>
      </x:c>
      <x:c r="B38" s="27" t="n">
        <x:v>1</x:v>
      </x:c>
      <x:c r="C38" s="20" t="str">
        <x:v>05C</x:v>
      </x:c>
      <x:c r="D38" s="20" t="str">
        <x:v>first_article</x:v>
      </x:c>
      <x:c r="E38" s="20" t="str">
        <x:v>keyboard_rod_route</x:v>
      </x:c>
      <x:c r="F38" s="20" t="str">
        <x:v>tpu95a_0p4</x:v>
      </x:c>
      <x:c r="G38" s="20" t="str">
        <x:v>TPU 95A</x:v>
      </x:c>
      <x:c r="H38" s="20" t="str">
        <x:v>05C_TPU_keyboard_tip_first_article.3mf</x:v>
      </x:c>
      <x:c r="I38" s="20" t="str">
        <x:v>12.0 x 11.998 x 14.0</x:v>
      </x:c>
      <x:c r="J38" s="23" t="str">
        <x:v>1.12</x:v>
      </x:c>
      <x:c r="K38" s="20" t="str">
        <x:v>PASS</x:v>
      </x:c>
      <x:c r="L38" s="20" t="str">
        <x:v>One keyboard TPU tip for dimensional and pull-off acceptance</x:v>
      </x:c>
    </x:row>
    <x:row r="39">
      <x:c r="A39" s="16" t="str">
        <x:v>keyboard_tip_TPU_6mm.stl</x:v>
      </x:c>
      <x:c r="B39" s="26" t="n">
        <x:v>3</x:v>
      </x:c>
      <x:c r="C39" s="16" t="str">
        <x:v>05D</x:v>
      </x:c>
      <x:c r="D39" s="16" t="str">
        <x:v>production</x:v>
      </x:c>
      <x:c r="E39" s="16" t="str">
        <x:v>keyboard_rod_route</x:v>
      </x:c>
      <x:c r="F39" s="16" t="str">
        <x:v>tpu95a_0p4</x:v>
      </x:c>
      <x:c r="G39" s="16" t="str">
        <x:v>TPU 95A</x:v>
      </x:c>
      <x:c r="H39" s="16" t="str">
        <x:v>05D_TPU_keyboard_tips_and_spares.3mf</x:v>
      </x:c>
      <x:c r="I39" s="16" t="str">
        <x:v>12.0 x 11.998 x 14.0</x:v>
      </x:c>
      <x:c r="J39" s="22" t="str">
        <x:v>1.12</x:v>
      </x:c>
      <x:c r="K39" s="16" t="str">
        <x:v>PASS</x:v>
      </x:c>
      <x:c r="L39" s="16" t="str">
        <x:v>Three additional keyboard TPU tips, yielding two installed and two total spares</x:v>
      </x:c>
    </x:row>
    <x:row r="40">
      <x:c r="A40" s="20" t="str">
        <x:v>mast_socket_fit_test.stl</x:v>
      </x:c>
      <x:c r="B40" s="27" t="n">
        <x:v>1</x:v>
      </x:c>
      <x:c r="C40" s="20" t="str">
        <x:v>06</x:v>
      </x:c>
      <x:c r="D40" s="20" t="str">
        <x:v>diagnostic</x:v>
      </x:c>
      <x:c r="E40" s="20" t="str">
        <x:v>camera_mast_optional</x:v>
      </x:c>
      <x:c r="F40" s="20" t="str">
        <x:v>asa_structural_0p4</x:v>
      </x:c>
      <x:c r="G40" s="20" t="str">
        <x:v>ASA</x:v>
      </x:c>
      <x:c r="H40" s="20" t="str">
        <x:v>06_ASA_mast_fit_tests.3mf</x:v>
      </x:c>
      <x:c r="I40" s="20" t="str">
        <x:v>110.0 x 36.0 x 24.0</x:v>
      </x:c>
      <x:c r="J40" s="23" t="str">
        <x:v>59.34</x:v>
      </x:c>
      <x:c r="K40" s="20" t="str">
        <x:v>PASS</x:v>
      </x:c>
      <x:c r="L40" s="20" t="str">
        <x:v>Fixed-mast fallback 2020 socket and production-axis M5 nut/clearance/washer tests; blocked until the fallback architecture is explicitly released</x:v>
      </x:c>
    </x:row>
    <x:row r="41">
      <x:c r="A41" s="16" t="str">
        <x:v>m5_nut_trap_fit_gauge.stl</x:v>
      </x:c>
      <x:c r="B41" s="26" t="n">
        <x:v>1</x:v>
      </x:c>
      <x:c r="C41" s="16" t="str">
        <x:v>06</x:v>
      </x:c>
      <x:c r="D41" s="16" t="str">
        <x:v>diagnostic</x:v>
      </x:c>
      <x:c r="E41" s="16" t="str">
        <x:v>camera_mast_optional</x:v>
      </x:c>
      <x:c r="F41" s="16" t="str">
        <x:v>asa_structural_0p4</x:v>
      </x:c>
      <x:c r="G41" s="16" t="str">
        <x:v>ASA</x:v>
      </x:c>
      <x:c r="H41" s="16" t="str">
        <x:v>06_ASA_mast_fit_tests.3mf</x:v>
      </x:c>
      <x:c r="I41" s="16" t="str">
        <x:v>26.0 x 90.0 x 30.0</x:v>
      </x:c>
      <x:c r="J41" s="22" t="str">
        <x:v>65.39</x:v>
      </x:c>
      <x:c r="K41" s="16" t="str">
        <x:v>PASS</x:v>
      </x:c>
      <x:c r="L41" s="16" t="str">
        <x:v>Fixed-mast fallback 2020 socket and production-axis M5 nut/clearance/washer tests; blocked until the fallback architecture is explicitly released</x:v>
      </x:c>
    </x:row>
    <x:row r="42">
      <x:c r="A42" s="20" t="str">
        <x:v>mast_foot_2020.stl</x:v>
      </x:c>
      <x:c r="B42" s="27" t="n">
        <x:v>1</x:v>
      </x:c>
      <x:c r="C42" s="20" t="str">
        <x:v>07A</x:v>
      </x:c>
      <x:c r="D42" s="20" t="str">
        <x:v>first_article</x:v>
      </x:c>
      <x:c r="E42" s="20" t="str">
        <x:v>camera_mast_optional</x:v>
      </x:c>
      <x:c r="F42" s="20" t="str">
        <x:v>asa_structural_0p4</x:v>
      </x:c>
      <x:c r="G42" s="20" t="str">
        <x:v>ASA</x:v>
      </x:c>
      <x:c r="H42" s="20" t="str">
        <x:v>07A_ASA_mast_foot_first_article.3mf</x:v>
      </x:c>
      <x:c r="I42" s="20" t="str">
        <x:v>92.0 x 92.0 x 74.0</x:v>
      </x:c>
      <x:c r="J42" s="23" t="str">
        <x:v>215.5</x:v>
      </x:c>
      <x:c r="K42" s="20" t="str">
        <x:v>PASS</x:v>
      </x:c>
      <x:c r="L42" s="20" t="str">
        <x:v>First fixed-mast fallback foot with rear-lug clamp bolts; not part of the intended arm-mounted camera architecture</x:v>
      </x:c>
    </x:row>
    <x:row r="43">
      <x:c r="A43" s="17" t="str">
        <x:v>mast_foot_2020.stl</x:v>
      </x:c>
      <x:c r="B43" s="28" t="n">
        <x:v>1</x:v>
      </x:c>
      <x:c r="C43" s="17" t="str">
        <x:v>07B</x:v>
      </x:c>
      <x:c r="D43" s="17" t="str">
        <x:v>optional</x:v>
      </x:c>
      <x:c r="E43" s="17" t="str">
        <x:v>camera_mast_optional</x:v>
      </x:c>
      <x:c r="F43" s="17" t="str">
        <x:v>asa_structural_0p4</x:v>
      </x:c>
      <x:c r="G43" s="17" t="str">
        <x:v>ASA</x:v>
      </x:c>
      <x:c r="H43" s="17" t="str">
        <x:v>07B_ASA_mast_foot_second.3mf</x:v>
      </x:c>
      <x:c r="I43" s="17" t="str">
        <x:v>92.0 x 92.0 x 74.0</x:v>
      </x:c>
      <x:c r="J43" s="24" t="str">
        <x:v>215.5</x:v>
      </x:c>
      <x:c r="K43" s="17" t="str">
        <x:v>PASS</x:v>
      </x:c>
      <x:c r="L43" s="17" t="str">
        <x:v>Second fixed-mast fallback foot after first-article acceptance; not part of the intended arm-mounted camera architecture</x:v>
      </x:c>
    </x:row>
  </x:sheetData>
  <x:mergeCells>
    <x:mergeCell ref="A1:L1"/>
  </x:mergeCells>
  <x:conditionalFormatting sqref="K4:K43">
    <x:cfRule type="containsText" dxfId="56" priority="1" operator="containsText" text="PASS"/>
    <x:cfRule type="containsText" dxfId="57" priority="2" operator="containsText" text="READY"/>
    <x:cfRule type="containsText" dxfId="58" priority="3" operator="containsText" text="WAITING"/>
    <x:cfRule type="containsText" dxfId="59" priority="4" operator="containsText" text="NOT_TESTED"/>
    <x:cfRule type="containsText" dxfId="60" priority="5" operator="containsText" text="NOT_SELECTED"/>
    <x:cfRule type="containsText" dxfId="61" priority="6" operator="containsText" text="HOLD"/>
    <x:cfRule type="containsText" dxfId="62" priority="7" operator="containsText" text="OPEN"/>
    <x:cfRule type="containsText" dxfId="63" priority="8" operator="containsText" text="FAIL"/>
  </x:conditionalFormatting>
  <x:pageMargins left="0.7" right="0.7" top="0.75" bottom="0.75" header="0.3" footer="0.3"/>
  <x:tableParts count="1">
    <x:tablePart xmlns:r="http://schemas.openxmlformats.org/officeDocument/2006/relationships" r:id="Rd8493d1377a3440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19" hidden="0" customWidth="1"/>
    <x:col min="3" max="3" width="25" hidden="0" customWidth="1"/>
    <x:col min="4" max="4" width="31" hidden="0" customWidth="1"/>
    <x:col min="5" max="5" width="12" hidden="0" customWidth="1"/>
    <x:col min="6" max="6" width="12" hidden="0" customWidth="1"/>
    <x:col min="7" max="7" width="22" hidden="0" customWidth="1"/>
    <x:col min="8" max="8" width="20" hidden="0" customWidth="1"/>
    <x:col min="9" max="9" width="76" hidden="0" customWidth="1"/>
  </x:cols>
  <x:sheetData>
    <x:row r="1" ht="30" customHeight="1">
      <x:c r="A1" s="3" t="str">
        <x:v>Board Layout - RC03-INT-R1 | layout SHA-256 fe54bf689ee06bdb6f6c8ba0d254c49a30b755cf78c8b03c6bc8a9ac67c7eb84</x:v>
      </x:c>
      <x:c r="B1" s="3"/>
      <x:c r="C1" s="3"/>
      <x:c r="D1" s="3"/>
      <x:c r="E1" s="3"/>
      <x:c r="F1" s="3"/>
      <x:c r="G1" s="3"/>
      <x:c r="H1" s="3"/>
      <x:c r="I1" s="3"/>
    </x:row>
    <x:row r="3" ht="28" customHeight="1">
      <x:c r="A3" s="7" t="str">
        <x:v>Record type</x:v>
      </x:c>
      <x:c r="B3" s="7" t="str">
        <x:v>ID</x:v>
      </x:c>
      <x:c r="C3" s="7" t="str">
        <x:v>Kind / role</x:v>
      </x:c>
      <x:c r="D3" s="7" t="str">
        <x:v>Owner / mount</x:v>
      </x:c>
      <x:c r="E3" s="7" t="str">
        <x:v>X mm</x:v>
      </x:c>
      <x:c r="F3" s="7" t="str">
        <x:v>Y mm</x:v>
      </x:c>
      <x:c r="G3" s="7" t="str">
        <x:v>Nominal feature / edge mm</x:v>
      </x:c>
      <x:c r="H3" s="7" t="str">
        <x:v>Depth / Z mm</x:v>
      </x:c>
      <x:c r="I3" s="7" t="str">
        <x:v>Instruction</x:v>
      </x:c>
    </x:row>
    <x:row r="4">
      <x:c r="A4" s="18" t="str">
        <x:v>Board feature</x:v>
      </x:c>
      <x:c r="B4" s="18" t="str">
        <x:v>KBL-LOC-ROUND</x:v>
      </x:c>
      <x:c r="C4" s="18" t="str">
        <x:v>locator_pin_blind</x:v>
      </x:c>
      <x:c r="D4" s="18" t="str">
        <x:v>keyboard_left</x:v>
      </x:c>
      <x:c r="E4" s="21" t="n">
        <x:v>102</x:v>
      </x:c>
      <x:c r="F4" s="21" t="n">
        <x:v>78</x:v>
      </x:c>
      <x:c r="G4" s="21" t="n">
        <x:v>6</x:v>
      </x:c>
      <x:c r="H4" s="18" t="n">
        <x:v>15</x:v>
      </x:c>
      <x:c r="I4" s="18" t="str">
        <x:v>6 mm blind bore, 15 mm deep; epoxy 6x20 dowel with 5 mm projection</x:v>
      </x:c>
    </x:row>
    <x:row r="5">
      <x:c r="A5" s="16" t="str">
        <x:v>Board feature</x:v>
      </x:c>
      <x:c r="B5" s="16" t="str">
        <x:v>KBL-LOC-RADIAL</x:v>
      </x:c>
      <x:c r="C5" s="16" t="str">
        <x:v>locator_pin_blind</x:v>
      </x:c>
      <x:c r="D5" s="16" t="str">
        <x:v>keyboard_left</x:v>
      </x:c>
      <x:c r="E5" s="22" t="n">
        <x:v>220.5</x:v>
      </x:c>
      <x:c r="F5" s="22" t="n">
        <x:v>78</x:v>
      </x:c>
      <x:c r="G5" s="22" t="n">
        <x:v>6</x:v>
      </x:c>
      <x:c r="H5" s="16" t="n">
        <x:v>15</x:v>
      </x:c>
      <x:c r="I5" s="16" t="str">
        <x:v>6 mm blind bore, 15 mm deep; station socket relieves X axis</x:v>
      </x:c>
    </x:row>
    <x:row r="6">
      <x:c r="A6" s="20" t="str">
        <x:v>Board feature</x:v>
      </x:c>
      <x:c r="B6" s="20" t="str">
        <x:v>KBL-HOLD-F</x:v>
      </x:c>
      <x:c r="C6" s="20" t="str">
        <x:v>m4_retention_through</x:v>
      </x:c>
      <x:c r="D6" s="20" t="str">
        <x:v>keyboard_left</x:v>
      </x:c>
      <x:c r="E6" s="23" t="n">
        <x:v>165</x:v>
      </x:c>
      <x:c r="F6" s="23" t="n">
        <x:v>78</x:v>
      </x:c>
      <x:c r="G6" s="23" t="n">
        <x:v>4.6</x:v>
      </x:c>
      <x:c r="H6" s="20" t="str"/>
      <x:c r="I6" s="20" t="str">
        <x:v>M4 through retention; washer/hand knob above, threaded anchor below; 4.60 mm is the nominal station passage/center symbol - final board anchor bore follows the selected anchor and scrap test</x:v>
      </x:c>
    </x:row>
    <x:row r="7">
      <x:c r="A7" s="16" t="str">
        <x:v>Board feature</x:v>
      </x:c>
      <x:c r="B7" s="16" t="str">
        <x:v>KBL-HOLD-R</x:v>
      </x:c>
      <x:c r="C7" s="16" t="str">
        <x:v>m4_retention_through</x:v>
      </x:c>
      <x:c r="D7" s="16" t="str">
        <x:v>keyboard_left</x:v>
      </x:c>
      <x:c r="E7" s="22" t="n">
        <x:v>102</x:v>
      </x:c>
      <x:c r="F7" s="22" t="n">
        <x:v>246</x:v>
      </x:c>
      <x:c r="G7" s="22" t="n">
        <x:v>4.6</x:v>
      </x:c>
      <x:c r="H7" s="16" t="str"/>
      <x:c r="I7" s="16" t="str">
        <x:v>M4 through retention; washer/hand knob above, threaded anchor below; 4.60 mm is the nominal station passage/center symbol - final board anchor bore follows the selected anchor and scrap test</x:v>
      </x:c>
    </x:row>
    <x:row r="8">
      <x:c r="A8" s="20" t="str">
        <x:v>Board feature</x:v>
      </x:c>
      <x:c r="B8" s="20" t="str">
        <x:v>KBL-CLAMP</x:v>
      </x:c>
      <x:c r="C8" s="20" t="str">
        <x:v>m4_retention_through</x:v>
      </x:c>
      <x:c r="D8" s="20" t="str">
        <x:v>keyboard_left</x:v>
      </x:c>
      <x:c r="E8" s="23" t="n">
        <x:v>165</x:v>
      </x:c>
      <x:c r="F8" s="23" t="n">
        <x:v>254.5</x:v>
      </x:c>
      <x:c r="G8" s="23" t="n">
        <x:v>4.6</x:v>
      </x:c>
      <x:c r="H8" s="20" t="str"/>
      <x:c r="I8" s="20" t="str">
        <x:v>Shared station retention and adjustable rear-clamp hand knob; 4.60 mm is the nominal station passage/center symbol - final board anchor bore follows the selected anchor and scrap test</x:v>
      </x:c>
    </x:row>
    <x:row r="9">
      <x:c r="A9" s="16" t="str">
        <x:v>Board feature</x:v>
      </x:c>
      <x:c r="B9" s="16" t="str">
        <x:v>KBR-HOLD-F</x:v>
      </x:c>
      <x:c r="C9" s="16" t="str">
        <x:v>m4_retention_through</x:v>
      </x:c>
      <x:c r="D9" s="16" t="str">
        <x:v>keyboard_right</x:v>
      </x:c>
      <x:c r="E9" s="22" t="n">
        <x:v>323.75</x:v>
      </x:c>
      <x:c r="F9" s="22" t="n">
        <x:v>78</x:v>
      </x:c>
      <x:c r="G9" s="22" t="n">
        <x:v>4.6</x:v>
      </x:c>
      <x:c r="H9" s="16" t="str"/>
      <x:c r="I9" s="16" t="str">
        <x:v>M4 through retention; 5.6 mm station relief, seam owns XY/yaw; 4.60 mm is the nominal station passage/center symbol - final board anchor bore follows the selected anchor and scrap test</x:v>
      </x:c>
    </x:row>
    <x:row r="10">
      <x:c r="A10" s="20" t="str">
        <x:v>Board feature</x:v>
      </x:c>
      <x:c r="B10" s="20" t="str">
        <x:v>KBR-HOLD-R</x:v>
      </x:c>
      <x:c r="C10" s="20" t="str">
        <x:v>m4_retention_through</x:v>
      </x:c>
      <x:c r="D10" s="20" t="str">
        <x:v>keyboard_right</x:v>
      </x:c>
      <x:c r="E10" s="23" t="n">
        <x:v>383</x:v>
      </x:c>
      <x:c r="F10" s="23" t="n">
        <x:v>246</x:v>
      </x:c>
      <x:c r="G10" s="23" t="n">
        <x:v>4.6</x:v>
      </x:c>
      <x:c r="H10" s="20" t="str"/>
      <x:c r="I10" s="20" t="str">
        <x:v>M4 through retention; 5.6 mm station relief, seam owns XY/yaw; 4.60 mm is the nominal station passage/center symbol - final board anchor bore follows the selected anchor and scrap test</x:v>
      </x:c>
    </x:row>
    <x:row r="11">
      <x:c r="A11" s="16" t="str">
        <x:v>Board feature</x:v>
      </x:c>
      <x:c r="B11" s="16" t="str">
        <x:v>KBR-CLAMP</x:v>
      </x:c>
      <x:c r="C11" s="16" t="str">
        <x:v>m4_retention_through</x:v>
      </x:c>
      <x:c r="D11" s="16" t="str">
        <x:v>keyboard_right</x:v>
      </x:c>
      <x:c r="E11" s="22" t="n">
        <x:v>320</x:v>
      </x:c>
      <x:c r="F11" s="22" t="n">
        <x:v>254.5</x:v>
      </x:c>
      <x:c r="G11" s="22" t="n">
        <x:v>4.6</x:v>
      </x:c>
      <x:c r="H11" s="16" t="str"/>
      <x:c r="I11" s="16" t="str">
        <x:v>Shared slave-station retention and adjustable rear-clamp hand knob; 4.60 mm is the nominal station passage/center symbol - final board anchor bore follows the selected anchor and scrap test</x:v>
      </x:c>
    </x:row>
    <x:row r="12">
      <x:c r="A12" s="20" t="str">
        <x:v>Board feature</x:v>
      </x:c>
      <x:c r="B12" s="20" t="str">
        <x:v>PT-LOC-ROUND</x:v>
      </x:c>
      <x:c r="C12" s="20" t="str">
        <x:v>locator_pin_blind</x:v>
      </x:c>
      <x:c r="D12" s="20" t="str">
        <x:v>phone_tcp</x:v>
      </x:c>
      <x:c r="E12" s="23" t="n">
        <x:v>487.5</x:v>
      </x:c>
      <x:c r="F12" s="23" t="n">
        <x:v>115</x:v>
      </x:c>
      <x:c r="G12" s="23" t="n">
        <x:v>6</x:v>
      </x:c>
      <x:c r="H12" s="20" t="n">
        <x:v>15</x:v>
      </x:c>
      <x:c r="I12" s="20" t="str">
        <x:v>6 mm blind bore, 15 mm deep; epoxy 6x20 dowel with 5 mm projection</x:v>
      </x:c>
    </x:row>
    <x:row r="13">
      <x:c r="A13" s="16" t="str">
        <x:v>Board feature</x:v>
      </x:c>
      <x:c r="B13" s="16" t="str">
        <x:v>PT-LOC-RADIAL</x:v>
      </x:c>
      <x:c r="C13" s="16" t="str">
        <x:v>locator_pin_blind</x:v>
      </x:c>
      <x:c r="D13" s="16" t="str">
        <x:v>phone_tcp</x:v>
      </x:c>
      <x:c r="E13" s="22" t="n">
        <x:v>487.5</x:v>
      </x:c>
      <x:c r="F13" s="22" t="n">
        <x:v>217.8</x:v>
      </x:c>
      <x:c r="G13" s="22" t="n">
        <x:v>6</x:v>
      </x:c>
      <x:c r="H13" s="16" t="n">
        <x:v>15</x:v>
      </x:c>
      <x:c r="I13" s="16" t="str">
        <x:v>6 mm blind bore, 15 mm deep; station socket relieves Y axis</x:v>
      </x:c>
    </x:row>
    <x:row r="14">
      <x:c r="A14" s="20" t="str">
        <x:v>Board feature</x:v>
      </x:c>
      <x:c r="B14" s="20" t="str">
        <x:v>PT-HOLD-TCP</x:v>
      </x:c>
      <x:c r="C14" s="20" t="str">
        <x:v>m4_retention_through</x:v>
      </x:c>
      <x:c r="D14" s="20" t="str">
        <x:v>phone_tcp</x:v>
      </x:c>
      <x:c r="E14" s="23" t="n">
        <x:v>423</x:v>
      </x:c>
      <x:c r="F14" s="23" t="n">
        <x:v>160</x:v>
      </x:c>
      <x:c r="G14" s="23" t="n">
        <x:v>4.6</x:v>
      </x:c>
      <x:c r="H14" s="20" t="str"/>
      <x:c r="I14" s="20" t="str">
        <x:v>M4 through retention at TCP island; 4.60 mm is the nominal station passage/center symbol - final board anchor bore follows the selected anchor and scrap test</x:v>
      </x:c>
    </x:row>
    <x:row r="15">
      <x:c r="A15" s="16" t="str">
        <x:v>Board feature</x:v>
      </x:c>
      <x:c r="B15" s="16" t="str">
        <x:v>PT-HOLD-R1</x:v>
      </x:c>
      <x:c r="C15" s="16" t="str">
        <x:v>m4_retention_through</x:v>
      </x:c>
      <x:c r="D15" s="16" t="str">
        <x:v>phone_tcp</x:v>
      </x:c>
      <x:c r="E15" s="22" t="n">
        <x:v>588.8</x:v>
      </x:c>
      <x:c r="F15" s="22" t="n">
        <x:v>149.12</x:v>
      </x:c>
      <x:c r="G15" s="22" t="n">
        <x:v>4.6</x:v>
      </x:c>
      <x:c r="H15" s="16" t="str"/>
      <x:c r="I15" s="16" t="str">
        <x:v>M4 through retention clamps service rail and station to board; 4.60 mm is the nominal station passage/center symbol - final board anchor bore follows the selected anchor and scrap test</x:v>
      </x:c>
    </x:row>
    <x:row r="16">
      <x:c r="A16" s="20" t="str">
        <x:v>Board feature</x:v>
      </x:c>
      <x:c r="B16" s="20" t="str">
        <x:v>PT-HOLD-R2</x:v>
      </x:c>
      <x:c r="C16" s="20" t="str">
        <x:v>m4_retention_through</x:v>
      </x:c>
      <x:c r="D16" s="20" t="str">
        <x:v>phone_tcp</x:v>
      </x:c>
      <x:c r="E16" s="23" t="n">
        <x:v>588.8</x:v>
      </x:c>
      <x:c r="F16" s="23" t="n">
        <x:v>192.32</x:v>
      </x:c>
      <x:c r="G16" s="23" t="n">
        <x:v>4.6</x:v>
      </x:c>
      <x:c r="H16" s="20" t="str"/>
      <x:c r="I16" s="20" t="str">
        <x:v>M4 through retention clamps service rail and station to board; 4.60 mm is the nominal station passage/center symbol - final board anchor bore follows the selected anchor and scrap test</x:v>
      </x:c>
    </x:row>
    <x:row r="17">
      <x:c r="A17" s="16" t="str">
        <x:v>Direct AprilTag</x:v>
      </x:c>
      <x:c r="B17" s="16" t="str">
        <x:v>T0 / ID0</x:v>
      </x:c>
      <x:c r="C17" s="16" t="str">
        <x:v>world</x:v>
      </x:c>
      <x:c r="D17" s="16" t="str">
        <x:v>direct_adhesive</x:v>
      </x:c>
      <x:c r="E17" s="22" t="n">
        <x:v>47</x:v>
      </x:c>
      <x:c r="F17" s="22" t="n">
        <x:v>40</x:v>
      </x:c>
      <x:c r="G17" s="22" t="n">
        <x:v>40</x:v>
      </x:c>
      <x:c r="H17" s="16" t="str">
        <x:v>measure adhesive + stock</x:v>
      </x:c>
      <x:c r="I17" s="16" t="str">
        <x:v>+Y orientation; full-surface matte adhesive; installed XY/yaw/Z must be measured</x:v>
      </x:c>
    </x:row>
    <x:row r="18">
      <x:c r="A18" s="20" t="str">
        <x:v>Direct AprilTag</x:v>
      </x:c>
      <x:c r="B18" s="20" t="str">
        <x:v>T1 / ID1</x:v>
      </x:c>
      <x:c r="C18" s="20" t="str">
        <x:v>world</x:v>
      </x:c>
      <x:c r="D18" s="20" t="str">
        <x:v>direct_adhesive</x:v>
      </x:c>
      <x:c r="E18" s="23" t="n">
        <x:v>440</x:v>
      </x:c>
      <x:c r="F18" s="23" t="n">
        <x:v>40</x:v>
      </x:c>
      <x:c r="G18" s="23" t="n">
        <x:v>40</x:v>
      </x:c>
      <x:c r="H18" s="20" t="str">
        <x:v>measure adhesive + stock</x:v>
      </x:c>
      <x:c r="I18" s="20" t="str">
        <x:v>+Y orientation; full-surface matte adhesive; installed XY/yaw/Z must be measured</x:v>
      </x:c>
    </x:row>
    <x:row r="19">
      <x:c r="A19" s="16" t="str">
        <x:v>Direct AprilTag</x:v>
      </x:c>
      <x:c r="B19" s="16" t="str">
        <x:v>T2 / ID2</x:v>
      </x:c>
      <x:c r="C19" s="16" t="str">
        <x:v>world</x:v>
      </x:c>
      <x:c r="D19" s="16" t="str">
        <x:v>direct_adhesive</x:v>
      </x:c>
      <x:c r="E19" s="22" t="n">
        <x:v>47</x:v>
      </x:c>
      <x:c r="F19" s="22" t="n">
        <x:v>410</x:v>
      </x:c>
      <x:c r="G19" s="22" t="n">
        <x:v>40</x:v>
      </x:c>
      <x:c r="H19" s="16" t="str">
        <x:v>measure adhesive + stock</x:v>
      </x:c>
      <x:c r="I19" s="16" t="str">
        <x:v>+Y orientation; full-surface matte adhesive; installed XY/yaw/Z must be measured</x:v>
      </x:c>
    </x:row>
    <x:row r="20">
      <x:c r="A20" s="20" t="str">
        <x:v>Direct AprilTag</x:v>
      </x:c>
      <x:c r="B20" s="20" t="str">
        <x:v>T3 / ID3</x:v>
      </x:c>
      <x:c r="C20" s="20" t="str">
        <x:v>world</x:v>
      </x:c>
      <x:c r="D20" s="20" t="str">
        <x:v>direct_adhesive</x:v>
      </x:c>
      <x:c r="E20" s="23" t="n">
        <x:v>563</x:v>
      </x:c>
      <x:c r="F20" s="23" t="n">
        <x:v>410</x:v>
      </x:c>
      <x:c r="G20" s="23" t="n">
        <x:v>40</x:v>
      </x:c>
      <x:c r="H20" s="20" t="str">
        <x:v>measure adhesive + stock</x:v>
      </x:c>
      <x:c r="I20" s="20" t="str">
        <x:v>+Y orientation; full-surface matte adhesive; installed XY/yaw/Z must be measured</x:v>
      </x:c>
    </x:row>
    <x:row r="21">
      <x:c r="A21" s="16" t="str">
        <x:v>Direct AprilTag</x:v>
      </x:c>
      <x:c r="B21" s="16" t="str">
        <x:v>K0 / ID4</x:v>
      </x:c>
      <x:c r="C21" s="16" t="str">
        <x:v>station_check</x:v>
      </x:c>
      <x:c r="D21" s="16" t="str">
        <x:v>direct_adhesive</x:v>
      </x:c>
      <x:c r="E21" s="22" t="n">
        <x:v>324</x:v>
      </x:c>
      <x:c r="F21" s="22" t="n">
        <x:v>309</x:v>
      </x:c>
      <x:c r="G21" s="22" t="n">
        <x:v>40</x:v>
      </x:c>
      <x:c r="H21" s="16" t="str">
        <x:v>measure adhesive + stock</x:v>
      </x:c>
      <x:c r="I21" s="16" t="str">
        <x:v>+Y orientation; full-surface matte adhesive; installed XY/yaw/Z must be measured</x:v>
      </x:c>
    </x:row>
    <x:row r="22">
      <x:c r="A22" s="19" t="str">
        <x:v>Direct AprilTag</x:v>
      </x:c>
      <x:c r="B22" s="19" t="str">
        <x:v>P0 / ID5</x:v>
      </x:c>
      <x:c r="C22" s="19" t="str">
        <x:v>station_check</x:v>
      </x:c>
      <x:c r="D22" s="19" t="str">
        <x:v>direct_adhesive</x:v>
      </x:c>
      <x:c r="E22" s="29" t="n">
        <x:v>459</x:v>
      </x:c>
      <x:c r="F22" s="29" t="n">
        <x:v>309</x:v>
      </x:c>
      <x:c r="G22" s="29" t="n">
        <x:v>40</x:v>
      </x:c>
      <x:c r="H22" s="19" t="str">
        <x:v>measure adhesive + stock</x:v>
      </x:c>
      <x:c r="I22" s="19" t="str">
        <x:v>+Y orientation; full-surface matte adhesive; installed XY/yaw/Z must be measured</x:v>
      </x:c>
    </x:row>
  </x:sheetData>
  <x:mergeCells>
    <x:mergeCell ref="A1:I1"/>
  </x:mergeCells>
  <x:pageMargins left="0.7" right="0.7" top="0.75" bottom="0.75" header="0.3" footer="0.3"/>
  <x:tableParts count="1">
    <x:tablePart xmlns:r="http://schemas.openxmlformats.org/officeDocument/2006/relationships" r:id="Rbcf65b72f30b457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9" hidden="0" customWidth="1"/>
    <x:col min="2" max="2" width="23" hidden="0" customWidth="1"/>
    <x:col min="3" max="3" width="28" hidden="0" customWidth="1"/>
    <x:col min="4" max="4" width="20" hidden="0" customWidth="1"/>
    <x:col min="5" max="5" width="14" hidden="0" customWidth="1"/>
    <x:col min="6" max="6" width="52" hidden="0" customWidth="1"/>
    <x:col min="7" max="7" width="72" hidden="0" customWidth="1"/>
    <x:col min="8" max="8" width="76" hidden="0" customWidth="1"/>
    <x:col min="9" max="9" width="18" hidden="0" customWidth="1"/>
    <x:col min="10" max="10" width="18" hidden="0" customWidth="1"/>
    <x:col min="11" max="11" width="27" hidden="0" customWidth="1"/>
    <x:col min="12" max="12" width="20" hidden="0" customWidth="1"/>
    <x:col min="13" max="13" width="32" hidden="0" customWidth="1"/>
  </x:cols>
  <x:sheetData>
    <x:row r="1" ht="30" customHeight="1">
      <x:c r="A1" s="3" t="str">
        <x:v>Job Kits - count, inspect, sign, label, and store as a controlled set</x:v>
      </x:c>
      <x:c r="B1" s="3"/>
      <x:c r="C1" s="3"/>
      <x:c r="D1" s="3"/>
      <x:c r="E1" s="3"/>
      <x:c r="F1" s="3"/>
      <x:c r="G1" s="3"/>
      <x:c r="H1" s="3"/>
      <x:c r="I1" s="3"/>
      <x:c r="J1" s="3"/>
      <x:c r="K1" s="3"/>
      <x:c r="L1" s="3"/>
      <x:c r="M1" s="3"/>
    </x:row>
    <x:row r="3" ht="28" customHeight="1">
      <x:c r="A3" s="7" t="str">
        <x:v>Job</x:v>
      </x:c>
      <x:c r="B3" s="7" t="str">
        <x:v>Kit</x:v>
      </x:c>
      <x:c r="C3" s="7" t="str">
        <x:v>Module</x:v>
      </x:c>
      <x:c r="D3" s="7" t="str">
        <x:v>Route</x:v>
      </x:c>
      <x:c r="E3" s="7" t="str">
        <x:v>Stage</x:v>
      </x:c>
      <x:c r="F3" s="7" t="str">
        <x:v>Printed contents</x:v>
      </x:c>
      <x:c r="G3" s="7" t="str">
        <x:v>Hardware / consumables</x:v>
      </x:c>
      <x:c r="H3" s="7" t="str">
        <x:v>Acceptance signoff</x:v>
      </x:c>
      <x:c r="I3" s="7" t="str">
        <x:v>Kit status</x:v>
      </x:c>
      <x:c r="J3" s="7" t="str">
        <x:v>QA status</x:v>
      </x:c>
      <x:c r="K3" s="7" t="str">
        <x:v>Storage label</x:v>
      </x:c>
      <x:c r="L3" s="7" t="str">
        <x:v>Print material</x:v>
      </x:c>
      <x:c r="M3" s="7" t="str">
        <x:v>Process profile</x:v>
      </x:c>
    </x:row>
    <x:row r="4">
      <x:c r="A4" s="18" t="str">
        <x:v>00A</x:v>
      </x:c>
      <x:c r="B4" s="18" t="str">
        <x:v>KIT-CAL</x:v>
      </x:c>
      <x:c r="C4" s="18" t="str">
        <x:v>Calibration and qualification</x:v>
      </x:c>
      <x:c r="D4" s="18" t="str">
        <x:v>required</x:v>
      </x:c>
      <x:c r="E4" s="18" t="str">
        <x:v>diagnostic</x:v>
      </x:c>
      <x:c r="F4" s="18" t="str">
        <x:v>1 keyboard corner-clearance coupon; 1 independently labeled board/seam round-and-slot locator ladder; 1 tray-profile clearance gauge; 1 M4 washer gauge</x:v>
      </x:c>
      <x:c r="G4" s="18" t="str">
        <x:v>Actual keyboard; 6 mm production dowel pins; measured M4 screws and washers; calipers</x:v>
      </x:c>
      <x:c r="H4" s="18" t="str">
        <x:v>Record keyboard_corner_coupon_pass keyboard_station_registration_coupon_pass and tray_clearance_holes_coupon_pass; retain the seam section for job 01</x:v>
      </x:c>
      <x:c r="I4" s="18" t="str">
        <x:v>NOT_KITTED</x:v>
      </x:c>
      <x:c r="J4" s="18" t="str">
        <x:v>NOT_INSPECTED</x:v>
      </x:c>
      <x:c r="K4" s="18" t="str">
        <x:v>RC03-INT-R1 KIT-CAL</x:v>
      </x:c>
      <x:c r="L4" s="18" t="str">
        <x:v>QIDI ABS Rapido</x:v>
      </x:c>
      <x:c r="M4" s="18" t="str">
        <x:v>abs_rapido_tray_structural_0p4</x:v>
      </x:c>
    </x:row>
    <x:row r="5">
      <x:c r="A5" s="16" t="str">
        <x:v>00B</x:v>
      </x:c>
      <x:c r="B5" s="16" t="str">
        <x:v>KIT-CAL</x:v>
      </x:c>
      <x:c r="C5" s="16" t="str">
        <x:v>Calibration and qualification</x:v>
      </x:c>
      <x:c r="D5" s="16" t="str">
        <x:v>required</x:v>
      </x:c>
      <x:c r="E5" s="16" t="str">
        <x:v>diagnostic</x:v>
      </x:c>
      <x:c r="F5" s="16" t="str">
        <x:v>1 phone width coupon; 1 station locator ladder; 1 top-loading captive M4 nut gauge; 1 PHONE-labeled production-floor M3 insert gauge; 1 cable-saddle gauge; 1 M4 washer gauge</x:v>
      </x:c>
      <x:c r="G5" s="16" t="str">
        <x:v>Actual phone in final case state; 6 mm production dowel pins; measured M4 nuts; M3 inserts; clamp screw and washer samples; candidate cable ties; calipers</x:v>
      </x:c>
      <x:c r="H5" s="16" t="str">
        <x:v>Record phone_width_coupon_pass; phone_station_registration_coupon_pass; phone_m4_captive_nut_coupon_pass; phone_station_m3_insert_coupon_pass; cable_tie_saddle_coupon_pass; cradle_m4_washer_coupon_pass</x:v>
      </x:c>
      <x:c r="I5" s="16" t="str">
        <x:v>NOT_KITTED</x:v>
      </x:c>
      <x:c r="J5" s="16" t="str">
        <x:v>NOT_INSPECTED</x:v>
      </x:c>
      <x:c r="K5" s="16" t="str">
        <x:v>RC03-INT-R1 KIT-CAL</x:v>
      </x:c>
      <x:c r="L5" s="16" t="str">
        <x:v>QIDI ABS Rapido</x:v>
      </x:c>
      <x:c r="M5" s="16" t="str">
        <x:v>abs_rapido_cradle_0p4</x:v>
      </x:c>
    </x:row>
    <x:row r="6">
      <x:c r="A6" s="20" t="str">
        <x:v>00C</x:v>
      </x:c>
      <x:c r="B6" s="20" t="str">
        <x:v>KIT-CAL</x:v>
      </x:c>
      <x:c r="C6" s="20" t="str">
        <x:v>Calibration and qualification</x:v>
      </x:c>
      <x:c r="D6" s="20" t="str">
        <x:v>required</x:v>
      </x:c>
      <x:c r="E6" s="20" t="str">
        <x:v>diagnostic</x:v>
      </x:c>
      <x:c r="F6" s="20" t="str">
        <x:v>1 RoArm grip coupon; 1 stepped spring gauge; 1 TOOL-labeled production-edge M3 insert gauge; 1 M3 head gauge</x:v>
      </x:c>
      <x:c r="G6" s="20" t="str">
        <x:v>RoArm gripper; selected spring; M3 inserts and cap screws; calipers; optional force gauge</x:v>
      </x:c>
      <x:c r="H6" s="20" t="str">
        <x:v>Record gripper_coupon_pass; spring_fit_coupon_pass; compliant_tool_m3_insert_coupon_pass; precision_m3_head_coupon_pass</x:v>
      </x:c>
      <x:c r="I6" s="20" t="str">
        <x:v>NOT_KITTED</x:v>
      </x:c>
      <x:c r="J6" s="20" t="str">
        <x:v>NOT_INSPECTED</x:v>
      </x:c>
      <x:c r="K6" s="20" t="str">
        <x:v>RC03-INT-R1 KIT-CAL</x:v>
      </x:c>
      <x:c r="L6" s="20" t="str">
        <x:v>QIDI ABS Rapido</x:v>
      </x:c>
      <x:c r="M6" s="20" t="str">
        <x:v>abs_rapido_precision_0p4</x:v>
      </x:c>
    </x:row>
    <x:row r="7">
      <x:c r="A7" s="16" t="str">
        <x:v>00D</x:v>
      </x:c>
      <x:c r="B7" s="16" t="str">
        <x:v>KIT-CAL</x:v>
      </x:c>
      <x:c r="C7" s="16" t="str">
        <x:v>Calibration and qualification</x:v>
      </x:c>
      <x:c r="D7" s="16" t="str">
        <x:v>phone_stylus_route</x:v>
      </x:c>
      <x:c r="E7" s="16" t="str">
        <x:v>diagnostic</x:v>
      </x:c>
      <x:c r="F7" s="16" t="str">
        <x:v>1 stylus diameter gauge</x:v>
      </x:c>
      <x:c r="G7" s="16" t="str">
        <x:v>Actual stylus; selected plastics-compatible removable compound if dry fit is insufficient; calipers</x:v>
      </x:c>
      <x:c r="H7" s="16" t="str">
        <x:v>Record stylus_gauge_coupon_pass and document dry-fit or minimal removable-compound retention; no thin-wall radial screw</x:v>
      </x:c>
      <x:c r="I7" s="16" t="str">
        <x:v>NOT_KITTED</x:v>
      </x:c>
      <x:c r="J7" s="16" t="str">
        <x:v>NOT_INSPECTED</x:v>
      </x:c>
      <x:c r="K7" s="16" t="str">
        <x:v>RC03-INT-R1 KIT-CAL</x:v>
      </x:c>
      <x:c r="L7" s="16" t="str">
        <x:v>PETG</x:v>
      </x:c>
      <x:c r="M7" s="16" t="str">
        <x:v>petg_adapter_0p4</x:v>
      </x:c>
    </x:row>
    <x:row r="8">
      <x:c r="A8" s="20" t="str">
        <x:v>00E</x:v>
      </x:c>
      <x:c r="B8" s="20" t="str">
        <x:v>KIT-CAL</x:v>
      </x:c>
      <x:c r="C8" s="20" t="str">
        <x:v>Calibration and qualification</x:v>
      </x:c>
      <x:c r="D8" s="20" t="str">
        <x:v>required</x:v>
      </x:c>
      <x:c r="E8" s="20" t="str">
        <x:v>diagnostic</x:v>
      </x:c>
      <x:c r="F8" s="20" t="str">
        <x:v>1 general hardware gauge; 1 head washer and camera-hex gauge; 1 rigid TPU-retention gauge</x:v>
      </x:c>
      <x:c r="G8" s="20" t="str">
        <x:v>Actual M3 M4 M5 and 1/4-20 hardware; M4 and M5 washers; retain gauge for TPU first articles</x:v>
      </x:c>
      <x:c r="H8" s="20" t="str">
        <x:v>Record general_clearance_holes_coupon_pass and setup_hardware_coupon_pass; retain labeled hardware samples</x:v>
      </x:c>
      <x:c r="I8" s="20" t="str">
        <x:v>NOT_KITTED</x:v>
      </x:c>
      <x:c r="J8" s="20" t="str">
        <x:v>NOT_INSPECTED</x:v>
      </x:c>
      <x:c r="K8" s="20" t="str">
        <x:v>RC03-INT-R1 KIT-CAL</x:v>
      </x:c>
      <x:c r="L8" s="20" t="str">
        <x:v>QIDI ABS Rapido</x:v>
      </x:c>
      <x:c r="M8" s="20" t="str">
        <x:v>abs_rapido_general_0p4</x:v>
      </x:c>
    </x:row>
    <x:row r="9">
      <x:c r="A9" s="16" t="str">
        <x:v>00F</x:v>
      </x:c>
      <x:c r="B9" s="16" t="str">
        <x:v>KIT-CAL</x:v>
      </x:c>
      <x:c r="C9" s="16" t="str">
        <x:v>Calibration and qualification</x:v>
      </x:c>
      <x:c r="D9" s="16" t="str">
        <x:v>required</x:v>
      </x:c>
      <x:c r="E9" s="16" t="str">
        <x:v>diagnostic</x:v>
      </x:c>
      <x:c r="F9" s="16" t="str">
        <x:v>1 calibration-profile clearance gauge; 1 M3 button-head recess gauge</x:v>
      </x:c>
      <x:c r="G9" s="16" t="str">
        <x:v>Actual M3 x 10 mm button-head puck screw; calipers</x:v>
      </x:c>
      <x:c r="H9" s="16" t="str">
        <x:v>Verify the smallest freely passing M3 hole and smallest below-face M3 button-head recess with the exact abs_rapido_calibration_0p4 profile; record calibration_clearance_holes_coupon_pass including smallest_free_hole_mm and m3_head_recess_d_mm</x:v>
      </x:c>
      <x:c r="I9" s="16" t="str">
        <x:v>NOT_KITTED</x:v>
      </x:c>
      <x:c r="J9" s="16" t="str">
        <x:v>NOT_INSPECTED</x:v>
      </x:c>
      <x:c r="K9" s="16" t="str">
        <x:v>RC03-INT-R1 KIT-CAL</x:v>
      </x:c>
      <x:c r="L9" s="16" t="str">
        <x:v>QIDI ABS Rapido</x:v>
      </x:c>
      <x:c r="M9" s="16" t="str">
        <x:v>abs_rapido_calibration_0p4</x:v>
      </x:c>
    </x:row>
    <x:row r="10">
      <x:c r="A10" s="20" t="str">
        <x:v>01</x:v>
      </x:c>
      <x:c r="B10" s="20" t="str">
        <x:v>KIT-KB</x:v>
      </x:c>
      <x:c r="C10" s="20" t="str">
        <x:v>Integrated keyboard station</x:v>
      </x:c>
      <x:c r="D10" s="20" t="str">
        <x:v>required</x:v>
      </x:c>
      <x:c r="E10" s="20" t="str">
        <x:v>first_article</x:v>
      </x:c>
      <x:c r="F10" s="20" t="str">
        <x:v>1 left master keyboard station</x:v>
      </x:c>
      <x:c r="G10" s="20" t="str">
        <x:v>Retained job 00A seam ladder; 2 selected 6 mm dowel pins; 3 temporary/production M4 station bolts; 3 M4 washers</x:v>
      </x:c>
      <x:c r="H10" s="20" t="str">
        <x:v>Verify master round/slot sockets; continuous base contact at all three retention zones; measure/test seam posts against the ladder; inspect clamp track and support-plane flatness; record keyboard_left_first_article_pass and keyboard_seam_coupon_pass</x:v>
      </x:c>
      <x:c r="I10" s="20" t="str">
        <x:v>NOT_KITTED</x:v>
      </x:c>
      <x:c r="J10" s="20" t="str">
        <x:v>NOT_INSPECTED</x:v>
      </x:c>
      <x:c r="K10" s="20" t="str">
        <x:v>RC03-INT-R1 KIT-KB</x:v>
      </x:c>
      <x:c r="L10" s="20" t="str">
        <x:v>QIDI ABS Rapido</x:v>
      </x:c>
      <x:c r="M10" s="20" t="str">
        <x:v>abs_rapido_tray_structural_0p4</x:v>
      </x:c>
    </x:row>
    <x:row r="11">
      <x:c r="A11" s="16" t="str">
        <x:v>02</x:v>
      </x:c>
      <x:c r="B11" s="16" t="str">
        <x:v>KIT-KB</x:v>
      </x:c>
      <x:c r="C11" s="16" t="str">
        <x:v>Integrated keyboard station</x:v>
      </x:c>
      <x:c r="D11" s="16" t="str">
        <x:v>required</x:v>
      </x:c>
      <x:c r="E11" s="16" t="str">
        <x:v>production</x:v>
      </x:c>
      <x:c r="F11" s="16" t="str">
        <x:v>1 right slave keyboard station</x:v>
      </x:c>
      <x:c r="G11" s="16" t="str">
        <x:v>3 temporary/production M4 station bolts; 3 M4 washers</x:v>
      </x:c>
      <x:c r="H11" s="16" t="str">
        <x:v>Mate to job 01 without an independent locator pair; verify seam gap flushness support plane continuous base contact and no rocking; complete station-pair acceptance</x:v>
      </x:c>
      <x:c r="I11" s="16" t="str">
        <x:v>NOT_KITTED</x:v>
      </x:c>
      <x:c r="J11" s="16" t="str">
        <x:v>NOT_INSPECTED</x:v>
      </x:c>
      <x:c r="K11" s="16" t="str">
        <x:v>RC03-INT-R1 KIT-KB</x:v>
      </x:c>
      <x:c r="L11" s="16" t="str">
        <x:v>QIDI ABS Rapido</x:v>
      </x:c>
      <x:c r="M11" s="16" t="str">
        <x:v>abs_rapido_tray_structural_0p4</x:v>
      </x:c>
    </x:row>
    <x:row r="12">
      <x:c r="A12" s="20" t="str">
        <x:v>03B</x:v>
      </x:c>
      <x:c r="B12" s="20" t="str">
        <x:v>KIT-KB</x:v>
      </x:c>
      <x:c r="C12" s="20" t="str">
        <x:v>Integrated keyboard station</x:v>
      </x:c>
      <x:c r="D12" s="20" t="str">
        <x:v>required</x:v>
      </x:c>
      <x:c r="E12" s="20" t="str">
        <x:v>production</x:v>
      </x:c>
      <x:c r="F12" s="20" t="str">
        <x:v>2 guided keyboard rear clamp sliders</x:v>
      </x:c>
      <x:c r="G12" s="20" t="str">
        <x:v>2 low-profile M4 thumb screws; 2 clamp face pads 42 x 10 x 0.8-1.0 mm</x:v>
      </x:c>
      <x:c r="H12" s="20" t="str">
        <x:v>Verify both sliders match; runners and slots are clean; install pads; complete ten keyboard remove-and-reinstall cycles</x:v>
      </x:c>
      <x:c r="I12" s="20" t="str">
        <x:v>NOT_KITTED</x:v>
      </x:c>
      <x:c r="J12" s="20" t="str">
        <x:v>NOT_INSPECTED</x:v>
      </x:c>
      <x:c r="K12" s="20" t="str">
        <x:v>RC03-INT-R1 KIT-KB</x:v>
      </x:c>
      <x:c r="L12" s="20" t="str">
        <x:v>QIDI ABS Rapido</x:v>
      </x:c>
      <x:c r="M12" s="20" t="str">
        <x:v>abs_rapido_general_0p4</x:v>
      </x:c>
    </x:row>
    <x:row r="13">
      <x:c r="A13" s="16" t="str">
        <x:v>03A</x:v>
      </x:c>
      <x:c r="B13" s="16" t="str">
        <x:v>KIT-PHONE</x:v>
      </x:c>
      <x:c r="C13" s="16" t="str">
        <x:v>Integrated phone and TCP station</x:v>
      </x:c>
      <x:c r="D13" s="16" t="str">
        <x:v>required</x:v>
      </x:c>
      <x:c r="E13" s="16" t="str">
        <x:v>first_article</x:v>
      </x:c>
      <x:c r="F13" s="16" t="str">
        <x:v>1 phone/TCP service station</x:v>
      </x:c>
      <x:c r="G13" s="16" t="str">
        <x:v>2 selected 6 mm dowel pins; 3 M4 station bolts; 3 M4 washers; 2 M3 heat-set inserts; 1 accepted cable tie</x:v>
      </x:c>
      <x:c r="H13" s="16" t="str">
        <x:v>Verify continuous base contact at all three retention zones locator sockets fixed phone datums keyed TCP receiver replaceable-rail interface and the rail-mounted cable saddle; complete ten station cycles</x:v>
      </x:c>
      <x:c r="I13" s="16" t="str">
        <x:v>NOT_KITTED</x:v>
      </x:c>
      <x:c r="J13" s="16" t="str">
        <x:v>NOT_INSPECTED</x:v>
      </x:c>
      <x:c r="K13" s="16" t="str">
        <x:v>RC03-INT-R1 KIT-PHONE</x:v>
      </x:c>
      <x:c r="L13" s="16" t="str">
        <x:v>QIDI ABS Rapido</x:v>
      </x:c>
      <x:c r="M13" s="16" t="str">
        <x:v>abs_rapido_cradle_0p4</x:v>
      </x:c>
    </x:row>
    <x:row r="14">
      <x:c r="A14" s="20" t="str">
        <x:v>05A</x:v>
      </x:c>
      <x:c r="B14" s="20" t="str">
        <x:v>KIT-PHONE</x:v>
      </x:c>
      <x:c r="C14" s="20" t="str">
        <x:v>Phone fixture</x:v>
      </x:c>
      <x:c r="D14" s="20" t="str">
        <x:v>required</x:v>
      </x:c>
      <x:c r="E14" s="20" t="str">
        <x:v>first_article</x:v>
      </x:c>
      <x:c r="F14" s="20" t="str">
        <x:v>1 phone TPU clamp tip</x:v>
      </x:c>
      <x:c r="G14" s="20" t="str">
        <x:v>Actual M4 clamp screw and retained rigid M4 peg; optional force gauge</x:v>
      </x:c>
      <x:c r="H14" s="20" t="str">
        <x:v>Inspect bore and witness band; perform defined pull-off test; record phone_tpu_retention_coupon_pass</x:v>
      </x:c>
      <x:c r="I14" s="20" t="str">
        <x:v>NOT_KITTED</x:v>
      </x:c>
      <x:c r="J14" s="20" t="str">
        <x:v>NOT_INSPECTED</x:v>
      </x:c>
      <x:c r="K14" s="20" t="str">
        <x:v>RC03-INT-R1 KIT-PHONE</x:v>
      </x:c>
      <x:c r="L14" s="20" t="str">
        <x:v>TPU 95A</x:v>
      </x:c>
      <x:c r="M14" s="20" t="str">
        <x:v>tpu95a_0p4</x:v>
      </x:c>
    </x:row>
    <x:row r="15">
      <x:c r="A15" s="16" t="str">
        <x:v>05B</x:v>
      </x:c>
      <x:c r="B15" s="16" t="str">
        <x:v>KIT-PHONE</x:v>
      </x:c>
      <x:c r="C15" s="16" t="str">
        <x:v>Phone fixture</x:v>
      </x:c>
      <x:c r="D15" s="16" t="str">
        <x:v>required</x:v>
      </x:c>
      <x:c r="E15" s="16" t="str">
        <x:v>production</x:v>
      </x:c>
      <x:c r="F15" s="16" t="str">
        <x:v>3 additional phone TPU clamp tips</x:v>
      </x:c>
      <x:c r="G15" s="16" t="str">
        <x:v>Two M4 clamp screws; labeled spare bag</x:v>
      </x:c>
      <x:c r="H15" s="16" t="str">
        <x:v>Confirm four accepted tips total from jobs 05A and 05B; label two INSTALL and two SPARE; complete phone-fixture assembly signoff</x:v>
      </x:c>
      <x:c r="I15" s="16" t="str">
        <x:v>NOT_KITTED</x:v>
      </x:c>
      <x:c r="J15" s="16" t="str">
        <x:v>NOT_INSPECTED</x:v>
      </x:c>
      <x:c r="K15" s="16" t="str">
        <x:v>RC03-INT-R1 KIT-PHONE</x:v>
      </x:c>
      <x:c r="L15" s="16" t="str">
        <x:v>TPU 95A</x:v>
      </x:c>
      <x:c r="M15" s="16" t="str">
        <x:v>tpu95a_0p4</x:v>
      </x:c>
    </x:row>
    <x:row r="16">
      <x:c r="A16" s="20" t="str">
        <x:v>03C1</x:v>
      </x:c>
      <x:c r="B16" s="20" t="str">
        <x:v>KIT-PHONE</x:v>
      </x:c>
      <x:c r="C16" s="20" t="str">
        <x:v>Integrated phone and TCP station</x:v>
      </x:c>
      <x:c r="D16" s="20" t="str">
        <x:v>required</x:v>
      </x:c>
      <x:c r="E16" s="20" t="str">
        <x:v>first_article</x:v>
      </x:c>
      <x:c r="F16" s="20" t="str">
        <x:v>1 replaceable phone keeper and clamp-tower rail</x:v>
      </x:c>
      <x:c r="G16" s="20" t="str">
        <x:v>2 measured M4 hex nuts; 2 M4 clamp screws; 2 accepted TPU tips; accepted service station and actual phone/case</x:v>
      </x:c>
      <x:c r="H16" s="20" t="str">
        <x:v>Verify rail seating tower ligaments top-loading nut retention horizontal clamp axes side-feature keepouts and service replacement; record phone_clamp_rail_first_article_pass</x:v>
      </x:c>
      <x:c r="I16" s="20" t="str">
        <x:v>NOT_KITTED</x:v>
      </x:c>
      <x:c r="J16" s="20" t="str">
        <x:v>NOT_INSPECTED</x:v>
      </x:c>
      <x:c r="K16" s="20" t="str">
        <x:v>RC03-INT-R1 KIT-PHONE</x:v>
      </x:c>
      <x:c r="L16" s="20" t="str">
        <x:v>QIDI ABS Rapido</x:v>
      </x:c>
      <x:c r="M16" s="20" t="str">
        <x:v>abs_rapido_cradle_0p4</x:v>
      </x:c>
    </x:row>
    <x:row r="17">
      <x:c r="A17" s="16" t="str">
        <x:v>03C2</x:v>
      </x:c>
      <x:c r="B17" s="16" t="str">
        <x:v>KIT-BOARD-SETUP</x:v>
      </x:c>
      <x:c r="C17" s="16" t="str">
        <x:v>Direct AprilTag and board setup</x:v>
      </x:c>
      <x:c r="D17" s="16" t="str">
        <x:v>required</x:v>
      </x:c>
      <x:c r="E17" s="16" t="str">
        <x:v>production</x:v>
      </x:c>
      <x:c r="F17" s="16" t="str">
        <x:v>1 reusable 55 mm tag application frame</x:v>
      </x:c>
      <x:c r="G17" s="16" t="str">
        <x:v>1:1 RC03 board setup template; six full-surface matte adhesive tag tiles plus one spare set; IPA-safe cleaning supplies; lint-free wipes; steel rule; calipers</x:v>
      </x:c>
      <x:c r="H17" s="16" t="str">
        <x:v>Verify both 100 mm template scale bars; apply IDs 0-5 directly to the finished sealed board; measure installed XY yaw and optical-plane Z; record tag_application_tool_postprint_pass tag_direct_installation_pass and tag_plane_placement_measured</x:v>
      </x:c>
      <x:c r="I17" s="16" t="str">
        <x:v>NOT_KITTED</x:v>
      </x:c>
      <x:c r="J17" s="16" t="str">
        <x:v>NOT_INSPECTED</x:v>
      </x:c>
      <x:c r="K17" s="16" t="str">
        <x:v>RC03-INT-R1 KIT-BOARD-SETUP</x:v>
      </x:c>
      <x:c r="L17" s="16" t="str">
        <x:v>QIDI ABS Rapido</x:v>
      </x:c>
      <x:c r="M17" s="16" t="str">
        <x:v>abs_rapido_general_0p4</x:v>
      </x:c>
    </x:row>
    <x:row r="18">
      <x:c r="A18" s="20" t="str">
        <x:v>03C3</x:v>
      </x:c>
      <x:c r="B18" s="20" t="str">
        <x:v>KIT-VISION-CAM</x:v>
      </x:c>
      <x:c r="C18" s="20" t="str">
        <x:v>Fixed-mast camera fallback</x:v>
      </x:c>
      <x:c r="D18" s="20" t="str">
        <x:v>camera_mast_optional</x:v>
      </x:c>
      <x:c r="E18" s="20" t="str">
        <x:v>production</x:v>
      </x:c>
      <x:c r="F18" s="20" t="str">
        <x:v>1 universal fallback camera plate</x:v>
      </x:c>
      <x:c r="G18" s="20" t="str">
        <x:v>Actual fallback USB camera; 1 measured 1/4-20 screw and conditional nut; 2 M5 T-slot screws; 2 M5 T-nuts; 2 M5 washers; 2 straps or narrow ties</x:v>
      </x:c>
      <x:c r="H18" s="20" t="str">
        <x:v>Do not use as an arm-camera adapter; after formal fallback release verify camera interface and screw depth strap retention washer seating and route-specific optical view</x:v>
      </x:c>
      <x:c r="I18" s="20" t="str">
        <x:v>NOT_KITTED</x:v>
      </x:c>
      <x:c r="J18" s="20" t="str">
        <x:v>NOT_INSPECTED</x:v>
      </x:c>
      <x:c r="K18" s="20" t="str">
        <x:v>RC03-INT-R1 KIT-VISION-CAM</x:v>
      </x:c>
      <x:c r="L18" s="20" t="str">
        <x:v>PETG</x:v>
      </x:c>
      <x:c r="M18" s="20" t="str">
        <x:v>petg_general_0p4</x:v>
      </x:c>
    </x:row>
    <x:row r="19">
      <x:c r="A19" s="16" t="str">
        <x:v>03D</x:v>
      </x:c>
      <x:c r="B19" s="16" t="str">
        <x:v>KIT-PUCK</x:v>
      </x:c>
      <x:c r="C19" s="16" t="str">
        <x:v>TCP calibration</x:v>
      </x:c>
      <x:c r="D19" s="16" t="str">
        <x:v>required</x:v>
      </x:c>
      <x:c r="E19" s="16" t="str">
        <x:v>first_article</x:v>
      </x:c>
      <x:c r="F19" s="16" t="str">
        <x:v>2 keyed TCP datum cartridges</x:v>
      </x:c>
      <x:c r="G19" s="16" t="str">
        <x:v>2 M3 x 10 mm button-head screws; accepted phone/TCP station; straightedge and height gauge; INSTALL and SPARE labels</x:v>
      </x:c>
      <x:c r="H19" s="16" t="str">
        <x:v>Keep calibration_puck_1 as 03D-A and calibration_puck_2 as 03D-B; qualify both over ten cycles; select INSTALL by the controlled normalized play/height-range score; label the other accepted cartridge SPARE - TCP RECALIBRATION REQUIRED</x:v>
      </x:c>
      <x:c r="I19" s="16" t="str">
        <x:v>NOT_KITTED</x:v>
      </x:c>
      <x:c r="J19" s="16" t="str">
        <x:v>NOT_INSPECTED</x:v>
      </x:c>
      <x:c r="K19" s="16" t="str">
        <x:v>RC03-INT-R1 KIT-PUCK</x:v>
      </x:c>
      <x:c r="L19" s="16" t="str">
        <x:v>QIDI ABS Rapido</x:v>
      </x:c>
      <x:c r="M19" s="16" t="str">
        <x:v>abs_rapido_calibration_0p4</x:v>
      </x:c>
    </x:row>
    <x:row r="20">
      <x:c r="A20" s="20" t="str">
        <x:v>04A</x:v>
      </x:c>
      <x:c r="B20" s="20" t="str">
        <x:v>KIT-TOOL-COMMON</x:v>
      </x:c>
      <x:c r="C20" s="20" t="str">
        <x:v>Compliant tool common</x:v>
      </x:c>
      <x:c r="D20" s="20" t="str">
        <x:v>any_tool_route</x:v>
      </x:c>
      <x:c r="E20" s="20" t="str">
        <x:v>route</x:v>
      </x:c>
      <x:c r="F20" s="20" t="str">
        <x:v>1 compliant tool body; 2 keyed top caps including 1 spare</x:v>
      </x:c>
      <x:c r="G20" s="20" t="str">
        <x:v>2 M3 heat-set inserts; 2 M3 x 10 mm button-head screws; 1 accepted spring; optional force gauge</x:v>
      </x:c>
      <x:c r="H20" s="20" t="str">
        <x:v>Verify body straightness grip flats bore insert alignment key fit and cap seating; later require 3-6 mm smooth travel without coil bind</x:v>
      </x:c>
      <x:c r="I20" s="20" t="str">
        <x:v>NOT_KITTED</x:v>
      </x:c>
      <x:c r="J20" s="20" t="str">
        <x:v>NOT_INSPECTED</x:v>
      </x:c>
      <x:c r="K20" s="20" t="str">
        <x:v>RC03-INT-R1 KIT-TOOL-COMMON</x:v>
      </x:c>
      <x:c r="L20" s="20" t="str">
        <x:v>QIDI ABS Rapido</x:v>
      </x:c>
      <x:c r="M20" s="20" t="str">
        <x:v>abs_rapido_precision_0p4</x:v>
      </x:c>
    </x:row>
    <x:row r="21">
      <x:c r="A21" s="16" t="str">
        <x:v>04B</x:v>
      </x:c>
      <x:c r="B21" s="16" t="str">
        <x:v>KIT-TOOL-PHONE</x:v>
      </x:c>
      <x:c r="C21" s="16" t="str">
        <x:v>Phone stylus route</x:v>
      </x:c>
      <x:c r="D21" s="16" t="str">
        <x:v>phone_stylus_route</x:v>
      </x:c>
      <x:c r="E21" s="16" t="str">
        <x:v>route</x:v>
      </x:c>
      <x:c r="F21" s="16" t="str">
        <x:v>2 stylus collars including 1 qualification spare</x:v>
      </x:c>
      <x:c r="G21" s="16" t="str">
        <x:v>1 accepted capacitive stylus; minimal qualified plastics-compatible removable compound only if dry fit is insufficient</x:v>
      </x:c>
      <x:c r="H21" s="16" t="str">
        <x:v>Qualify pull/cycle retention on the actual thin-wall collar; verify removability 24-hour creep smooth chamber travel and phone conductivity</x:v>
      </x:c>
      <x:c r="I21" s="16" t="str">
        <x:v>NOT_KITTED</x:v>
      </x:c>
      <x:c r="J21" s="16" t="str">
        <x:v>NOT_INSPECTED</x:v>
      </x:c>
      <x:c r="K21" s="16" t="str">
        <x:v>RC03-INT-R1 KIT-TOOL-PHONE</x:v>
      </x:c>
      <x:c r="L21" s="16" t="str">
        <x:v>PETG</x:v>
      </x:c>
      <x:c r="M21" s="16" t="str">
        <x:v>petg_adapter_0p4</x:v>
      </x:c>
    </x:row>
    <x:row r="22">
      <x:c r="A22" s="20" t="str">
        <x:v>04C</x:v>
      </x:c>
      <x:c r="B22" s="20" t="str">
        <x:v>KIT-TOOL-KB</x:v>
      </x:c>
      <x:c r="C22" s="20" t="str">
        <x:v>Keyboard rod route</x:v>
      </x:c>
      <x:c r="D22" s="20" t="str">
        <x:v>keyboard_rod_route</x:v>
      </x:c>
      <x:c r="E22" s="20" t="str">
        <x:v>route</x:v>
      </x:c>
      <x:c r="F22" s="20" t="str">
        <x:v>2 rod bushings including 1 qualification spare</x:v>
      </x:c>
      <x:c r="G22" s="20" t="str">
        <x:v>1 deburred 6 mm rod; selected removable retaining adhesive if required; calipers</x:v>
      </x:c>
      <x:c r="H22" s="20" t="str">
        <x:v>Verify measured bore and flange; qualify axial pull retention and 24-hour creep before robot use</x:v>
      </x:c>
      <x:c r="I22" s="20" t="str">
        <x:v>NOT_KITTED</x:v>
      </x:c>
      <x:c r="J22" s="20" t="str">
        <x:v>NOT_INSPECTED</x:v>
      </x:c>
      <x:c r="K22" s="20" t="str">
        <x:v>RC03-INT-R1 KIT-TOOL-KB</x:v>
      </x:c>
      <x:c r="L22" s="20" t="str">
        <x:v>PETG</x:v>
      </x:c>
      <x:c r="M22" s="20" t="str">
        <x:v>petg_adapter_0p4</x:v>
      </x:c>
    </x:row>
    <x:row r="23">
      <x:c r="A23" s="16" t="str">
        <x:v>05C</x:v>
      </x:c>
      <x:c r="B23" s="16" t="str">
        <x:v>KIT-TOOL-KB</x:v>
      </x:c>
      <x:c r="C23" s="16" t="str">
        <x:v>Keyboard rod route</x:v>
      </x:c>
      <x:c r="D23" s="16" t="str">
        <x:v>keyboard_rod_route</x:v>
      </x:c>
      <x:c r="E23" s="16" t="str">
        <x:v>first_article</x:v>
      </x:c>
      <x:c r="F23" s="16" t="str">
        <x:v>1 keyboard TPU tip</x:v>
      </x:c>
      <x:c r="G23" s="16" t="str">
        <x:v>Actual 6 mm rod and retained rigid 6 mm peg; optional force gauge</x:v>
      </x:c>
      <x:c r="H23" s="16" t="str">
        <x:v>Inspect bore and witness band; perform defined pull-off test; record keyboard_tpu_retention_coupon_pass</x:v>
      </x:c>
      <x:c r="I23" s="16" t="str">
        <x:v>NOT_KITTED</x:v>
      </x:c>
      <x:c r="J23" s="16" t="str">
        <x:v>NOT_INSPECTED</x:v>
      </x:c>
      <x:c r="K23" s="16" t="str">
        <x:v>RC03-INT-R1 KIT-TOOL-KB</x:v>
      </x:c>
      <x:c r="L23" s="16" t="str">
        <x:v>TPU 95A</x:v>
      </x:c>
      <x:c r="M23" s="16" t="str">
        <x:v>tpu95a_0p4</x:v>
      </x:c>
    </x:row>
    <x:row r="24">
      <x:c r="A24" s="20" t="str">
        <x:v>05D</x:v>
      </x:c>
      <x:c r="B24" s="20" t="str">
        <x:v>KIT-TOOL-KB</x:v>
      </x:c>
      <x:c r="C24" s="20" t="str">
        <x:v>Keyboard rod route</x:v>
      </x:c>
      <x:c r="D24" s="20" t="str">
        <x:v>keyboard_rod_route</x:v>
      </x:c>
      <x:c r="E24" s="20" t="str">
        <x:v>production</x:v>
      </x:c>
      <x:c r="F24" s="20" t="str">
        <x:v>3 additional keyboard TPU tips</x:v>
      </x:c>
      <x:c r="G24" s="20" t="str">
        <x:v>Accepted 6 mm rod; labeled spare bag</x:v>
      </x:c>
      <x:c r="H24" s="20" t="str">
        <x:v>Confirm four accepted tips total from jobs 05C and 05D; label two INSTALL and two SPARE</x:v>
      </x:c>
      <x:c r="I24" s="20" t="str">
        <x:v>NOT_KITTED</x:v>
      </x:c>
      <x:c r="J24" s="20" t="str">
        <x:v>NOT_INSPECTED</x:v>
      </x:c>
      <x:c r="K24" s="20" t="str">
        <x:v>RC03-INT-R1 KIT-TOOL-KB</x:v>
      </x:c>
      <x:c r="L24" s="20" t="str">
        <x:v>TPU 95A</x:v>
      </x:c>
      <x:c r="M24" s="20" t="str">
        <x:v>tpu95a_0p4</x:v>
      </x:c>
    </x:row>
    <x:row r="25">
      <x:c r="A25" s="16" t="str">
        <x:v>06</x:v>
      </x:c>
      <x:c r="B25" s="16" t="str">
        <x:v>KIT-MAST</x:v>
      </x:c>
      <x:c r="C25" s="16" t="str">
        <x:v>Fixed-mast camera fallback</x:v>
      </x:c>
      <x:c r="D25" s="16" t="str">
        <x:v>camera_mast_optional</x:v>
      </x:c>
      <x:c r="E25" s="16" t="str">
        <x:v>diagnostic</x:v>
      </x:c>
      <x:c r="F25" s="16" t="str">
        <x:v>1 ASA 2020 socket ladder; 1 production-axis M5 nut clearance and washer gauge</x:v>
      </x:c>
      <x:c r="G25" s="16" t="str">
        <x:v>Actual 2020 extrusion sample; M5 bolt nut and washer samples; calipers</x:v>
      </x:c>
      <x:c r="H25" s="16" t="str">
        <x:v>Do not kit or print until fixed_camera_fallback_architecture_released is PASS; then record asa_mast_socket_coupon_pass; asa_m5_nut_coupon_pass; asa_m5_clearance_coupon_pass using the final ASA spool</x:v>
      </x:c>
      <x:c r="I25" s="16" t="str">
        <x:v>NOT_KITTED</x:v>
      </x:c>
      <x:c r="J25" s="16" t="str">
        <x:v>NOT_INSPECTED</x:v>
      </x:c>
      <x:c r="K25" s="16" t="str">
        <x:v>RC03-INT-R1 KIT-MAST</x:v>
      </x:c>
      <x:c r="L25" s="16" t="str">
        <x:v>ASA</x:v>
      </x:c>
      <x:c r="M25" s="16" t="str">
        <x:v>asa_structural_0p4</x:v>
      </x:c>
    </x:row>
    <x:row r="26">
      <x:c r="A26" s="20" t="str">
        <x:v>07A</x:v>
      </x:c>
      <x:c r="B26" s="20" t="str">
        <x:v>KIT-MAST</x:v>
      </x:c>
      <x:c r="C26" s="20" t="str">
        <x:v>Fixed-mast camera fallback</x:v>
      </x:c>
      <x:c r="D26" s="20" t="str">
        <x:v>camera_mast_optional</x:v>
      </x:c>
      <x:c r="E26" s="20" t="str">
        <x:v>first_article</x:v>
      </x:c>
      <x:c r="F26" s="20" t="str">
        <x:v>1 mast foot A</x:v>
      </x:c>
      <x:c r="G26" s="20" t="str">
        <x:v>1 vertical 2020 post; 2 M5 x 60 mm bolts; 2 M5 nuts; 2 M5 head washers; 4 base anchors; 4 M5 base washers</x:v>
      </x:c>
      <x:c r="H26" s="20" t="str">
        <x:v>Do not kit or print until fixed_camera_fallback_architecture_released is PASS; then install the fallback post without bolt interference; alternate clamp tightening; verify base flatness and cracks immediately and after 24 hours; record mast_foot_first_article_pass</x:v>
      </x:c>
      <x:c r="I26" s="20" t="str">
        <x:v>NOT_KITTED</x:v>
      </x:c>
      <x:c r="J26" s="20" t="str">
        <x:v>NOT_INSPECTED</x:v>
      </x:c>
      <x:c r="K26" s="20" t="str">
        <x:v>RC03-INT-R1 KIT-MAST</x:v>
      </x:c>
      <x:c r="L26" s="20" t="str">
        <x:v>ASA</x:v>
      </x:c>
      <x:c r="M26" s="20" t="str">
        <x:v>asa_structural_0p4</x:v>
      </x:c>
    </x:row>
    <x:row r="27">
      <x:c r="A27" s="17" t="str">
        <x:v>07B</x:v>
      </x:c>
      <x:c r="B27" s="17" t="str">
        <x:v>KIT-MAST</x:v>
      </x:c>
      <x:c r="C27" s="17" t="str">
        <x:v>Fixed-mast camera fallback</x:v>
      </x:c>
      <x:c r="D27" s="17" t="str">
        <x:v>camera_mast_optional</x:v>
      </x:c>
      <x:c r="E27" s="17" t="str">
        <x:v>optional</x:v>
      </x:c>
      <x:c r="F27" s="17" t="str">
        <x:v>1 mast foot B</x:v>
      </x:c>
      <x:c r="G27" s="17" t="str">
        <x:v>1 vertical 2020 post; 2 M5 x 60 mm bolts; 2 M5 nuts; 2 M5 head washers; 4 base anchors; 4 M5 base washers</x:v>
      </x:c>
      <x:c r="H27" s="17" t="str">
        <x:v>Do not kit or print until fixed_camera_fallback_architecture_released is PASS; then repeat first-article checks; label feet A and B; verify paired mast seating crossbar level and stand stability</x:v>
      </x:c>
      <x:c r="I27" s="17" t="str">
        <x:v>NOT_KITTED</x:v>
      </x:c>
      <x:c r="J27" s="17" t="str">
        <x:v>NOT_INSPECTED</x:v>
      </x:c>
      <x:c r="K27" s="17" t="str">
        <x:v>RC03-INT-R1 KIT-MAST</x:v>
      </x:c>
      <x:c r="L27" s="17" t="str">
        <x:v>ASA</x:v>
      </x:c>
      <x:c r="M27" s="17" t="str">
        <x:v>asa_structural_0p4</x:v>
      </x:c>
    </x:row>
  </x:sheetData>
  <x:mergeCells>
    <x:mergeCell ref="A1:M1"/>
  </x:mergeCells>
  <x:conditionalFormatting sqref="I4:I27">
    <x:cfRule type="containsText" dxfId="64" priority="1" operator="containsText" text="PASS"/>
    <x:cfRule type="containsText" dxfId="65" priority="2" operator="containsText" text="READY"/>
    <x:cfRule type="containsText" dxfId="66" priority="3" operator="containsText" text="WAITING"/>
    <x:cfRule type="containsText" dxfId="67" priority="4" operator="containsText" text="NOT_TESTED"/>
    <x:cfRule type="containsText" dxfId="68" priority="5" operator="containsText" text="NOT_SELECTED"/>
    <x:cfRule type="containsText" dxfId="69" priority="6" operator="containsText" text="HOLD"/>
    <x:cfRule type="containsText" dxfId="70" priority="7" operator="containsText" text="OPEN"/>
    <x:cfRule type="containsText" dxfId="71" priority="8" operator="containsText" text="FAIL"/>
  </x:conditionalFormatting>
  <x:conditionalFormatting sqref="J4:J27">
    <x:cfRule type="containsText" dxfId="72" priority="9" operator="containsText" text="PASS"/>
    <x:cfRule type="containsText" dxfId="73" priority="10" operator="containsText" text="READY"/>
    <x:cfRule type="containsText" dxfId="74" priority="11" operator="containsText" text="WAITING"/>
    <x:cfRule type="containsText" dxfId="75" priority="12" operator="containsText" text="NOT_TESTED"/>
    <x:cfRule type="containsText" dxfId="76" priority="13" operator="containsText" text="NOT_SELECTED"/>
    <x:cfRule type="containsText" dxfId="77" priority="14" operator="containsText" text="HOLD"/>
    <x:cfRule type="containsText" dxfId="78" priority="15" operator="containsText" text="OPEN"/>
    <x:cfRule type="containsText" dxfId="79" priority="16" operator="containsText" text="FAIL"/>
  </x:conditionalFormatting>
  <x:pageMargins left="0.7" right="0.7" top="0.75" bottom="0.75" header="0.3" footer="0.3"/>
  <x:tableParts count="1">
    <x:tablePart xmlns:r="http://schemas.openxmlformats.org/officeDocument/2006/relationships" r:id="R01be21ff7f864f0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14" hidden="0" customWidth="1"/>
    <x:col min="4" max="4" width="23" hidden="0" customWidth="1"/>
    <x:col min="5" max="5" width="18" hidden="0" customWidth="1"/>
    <x:col min="6" max="6" width="18" hidden="0" customWidth="1"/>
    <x:col min="7" max="7" width="58" hidden="0" customWidth="1"/>
    <x:col min="8" max="8" width="48" hidden="0" customWidth="1"/>
    <x:col min="9" max="9" width="48" hidden="0" customWidth="1"/>
  </x:cols>
  <x:sheetData>
    <x:row r="1" ht="30" customHeight="1">
      <x:c r="A1" s="3" t="str">
        <x:v>Build Lifecycle - release is sequential from UNRELEASED through IN_SERVICE</x:v>
      </x:c>
      <x:c r="B1" s="3"/>
      <x:c r="C1" s="3"/>
      <x:c r="D1" s="3"/>
      <x:c r="E1" s="3"/>
      <x:c r="F1" s="3"/>
      <x:c r="G1" s="3"/>
      <x:c r="H1" s="3"/>
      <x:c r="I1" s="3"/>
    </x:row>
    <x:row r="3" ht="28" customHeight="1">
      <x:c r="A3" s="7" t="str">
        <x:v>Job</x:v>
      </x:c>
      <x:c r="B3" s="7" t="str">
        <x:v>Selected</x:v>
      </x:c>
      <x:c r="C3" s="7" t="str">
        <x:v>Stage</x:v>
      </x:c>
      <x:c r="D3" s="7" t="str">
        <x:v>Kit</x:v>
      </x:c>
      <x:c r="E3" s="7" t="str">
        <x:v>Recorded state</x:v>
      </x:c>
      <x:c r="F3" s="7" t="str">
        <x:v>Effective state</x:v>
      </x:c>
      <x:c r="G3" s="7" t="str">
        <x:v>Missing prerequisites</x:v>
      </x:c>
      <x:c r="H3" s="7" t="str">
        <x:v>Post-print gates</x:v>
      </x:c>
      <x:c r="I3" s="7" t="str">
        <x:v>Assembly gates</x:v>
      </x:c>
    </x:row>
    <x:row r="4">
      <x:c r="A4" s="18" t="str">
        <x:v>00A</x:v>
      </x:c>
      <x:c r="B4" s="18" t="str">
        <x:v>YES</x:v>
      </x:c>
      <x:c r="C4" s="18" t="str">
        <x:v>diagnostic</x:v>
      </x:c>
      <x:c r="D4" s="18" t="str">
        <x:v>KIT-CAL</x:v>
      </x:c>
      <x:c r="E4" s="18" t="str">
        <x:v>UNRELEASED</x:v>
      </x:c>
      <x:c r="F4" s="18" t="str">
        <x:v>READY_TO_SLICE</x:v>
      </x:c>
      <x:c r="G4" s="18" t="str"/>
      <x:c r="H4" s="18" t="str">
        <x:v>keyboard_corner_coupon_pass; keyboard_station_registration_coupon_pass; tray_clearance_holes_coupon_pass</x:v>
      </x:c>
      <x:c r="I4" s="18" t="str"/>
    </x:row>
    <x:row r="5">
      <x:c r="A5" s="16" t="str">
        <x:v>00B</x:v>
      </x:c>
      <x:c r="B5" s="16" t="str">
        <x:v>YES</x:v>
      </x:c>
      <x:c r="C5" s="16" t="str">
        <x:v>diagnostic</x:v>
      </x:c>
      <x:c r="D5" s="16" t="str">
        <x:v>KIT-CAL</x:v>
      </x:c>
      <x:c r="E5" s="16" t="str">
        <x:v>UNRELEASED</x:v>
      </x:c>
      <x:c r="F5" s="16" t="str">
        <x:v>READY_TO_SLICE</x:v>
      </x:c>
      <x:c r="G5" s="16" t="str"/>
      <x:c r="H5" s="16" t="str">
        <x:v>phone_width_coupon_pass; phone_station_registration_coupon_pass; phone_m4_captive_nut_coupon_pass; phone_station_m3_insert_coupon_pass; cable_tie_saddle_coupon_pass; cradle_m4_washer_coupon_pass</x:v>
      </x:c>
      <x:c r="I5" s="16" t="str"/>
    </x:row>
    <x:row r="6">
      <x:c r="A6" s="20" t="str">
        <x:v>00C</x:v>
      </x:c>
      <x:c r="B6" s="20" t="str">
        <x:v>YES</x:v>
      </x:c>
      <x:c r="C6" s="20" t="str">
        <x:v>diagnostic</x:v>
      </x:c>
      <x:c r="D6" s="20" t="str">
        <x:v>KIT-CAL</x:v>
      </x:c>
      <x:c r="E6" s="20" t="str">
        <x:v>UNRELEASED</x:v>
      </x:c>
      <x:c r="F6" s="20" t="str">
        <x:v>READY_TO_SLICE</x:v>
      </x:c>
      <x:c r="G6" s="20" t="str"/>
      <x:c r="H6" s="20" t="str">
        <x:v>compliant_tool_m3_insert_coupon_pass; gripper_coupon_pass; spring_fit_coupon_pass; precision_m3_head_coupon_pass</x:v>
      </x:c>
      <x:c r="I6" s="20" t="str"/>
    </x:row>
    <x:row r="7">
      <x:c r="A7" s="16" t="str">
        <x:v>00D</x:v>
      </x:c>
      <x:c r="B7" s="16" t="str">
        <x:v>YES</x:v>
      </x:c>
      <x:c r="C7" s="16" t="str">
        <x:v>diagnostic</x:v>
      </x:c>
      <x:c r="D7" s="16" t="str">
        <x:v>KIT-CAL</x:v>
      </x:c>
      <x:c r="E7" s="16" t="str">
        <x:v>UNRELEASED</x:v>
      </x:c>
      <x:c r="F7" s="16" t="str">
        <x:v>UNRELEASED</x:v>
      </x:c>
      <x:c r="G7" s="16" t="str">
        <x:v>petg_adapter_profile_calibrated</x:v>
      </x:c>
      <x:c r="H7" s="16" t="str">
        <x:v>stylus_gauge_coupon_pass</x:v>
      </x:c>
      <x:c r="I7" s="16" t="str"/>
    </x:row>
    <x:row r="8">
      <x:c r="A8" s="20" t="str">
        <x:v>00E</x:v>
      </x:c>
      <x:c r="B8" s="20" t="str">
        <x:v>YES</x:v>
      </x:c>
      <x:c r="C8" s="20" t="str">
        <x:v>diagnostic</x:v>
      </x:c>
      <x:c r="D8" s="20" t="str">
        <x:v>KIT-CAL</x:v>
      </x:c>
      <x:c r="E8" s="20" t="str">
        <x:v>UNRELEASED</x:v>
      </x:c>
      <x:c r="F8" s="20" t="str">
        <x:v>READY_TO_SLICE</x:v>
      </x:c>
      <x:c r="G8" s="20" t="str"/>
      <x:c r="H8" s="20" t="str">
        <x:v>general_clearance_holes_coupon_pass; setup_hardware_coupon_pass</x:v>
      </x:c>
      <x:c r="I8" s="20" t="str"/>
    </x:row>
    <x:row r="9">
      <x:c r="A9" s="16" t="str">
        <x:v>00F</x:v>
      </x:c>
      <x:c r="B9" s="16" t="str">
        <x:v>YES</x:v>
      </x:c>
      <x:c r="C9" s="16" t="str">
        <x:v>diagnostic</x:v>
      </x:c>
      <x:c r="D9" s="16" t="str">
        <x:v>KIT-CAL</x:v>
      </x:c>
      <x:c r="E9" s="16" t="str">
        <x:v>UNRELEASED</x:v>
      </x:c>
      <x:c r="F9" s="16" t="str">
        <x:v>READY_TO_SLICE</x:v>
      </x:c>
      <x:c r="G9" s="16" t="str"/>
      <x:c r="H9" s="16" t="str">
        <x:v>calibration_clearance_holes_coupon_pass</x:v>
      </x:c>
      <x:c r="I9" s="16" t="str"/>
    </x:row>
    <x:row r="10">
      <x:c r="A10" s="20" t="str">
        <x:v>01</x:v>
      </x:c>
      <x:c r="B10" s="20" t="str">
        <x:v>YES</x:v>
      </x:c>
      <x:c r="C10" s="20" t="str">
        <x:v>first_article</x:v>
      </x:c>
      <x:c r="D10" s="20" t="str">
        <x:v>KIT-KB</x:v>
      </x:c>
      <x:c r="E10" s="20" t="str">
        <x:v>UNRELEASED</x:v>
      </x:c>
      <x:c r="F10" s="20" t="str">
        <x:v>UNRELEASED</x:v>
      </x:c>
      <x:c r="G10" s="20" t="str">
        <x:v>keyboard_dimensions_measured; keyboard_corner_coupon_pass; keyboard_station_registration_coupon_pass; tray_clearance_holes_coupon_pass; geometry_matches_measurements; qidi_studio_roundtrip_confirmed</x:v>
      </x:c>
      <x:c r="H10" s="20" t="str">
        <x:v>keyboard_left_first_article_pass; keyboard_seam_coupon_pass</x:v>
      </x:c>
      <x:c r="I10" s="20" t="str"/>
    </x:row>
    <x:row r="11">
      <x:c r="A11" s="16" t="str">
        <x:v>02</x:v>
      </x:c>
      <x:c r="B11" s="16" t="str">
        <x:v>YES</x:v>
      </x:c>
      <x:c r="C11" s="16" t="str">
        <x:v>production</x:v>
      </x:c>
      <x:c r="D11" s="16" t="str">
        <x:v>KIT-KB</x:v>
      </x:c>
      <x:c r="E11" s="16" t="str">
        <x:v>UNRELEASED</x:v>
      </x:c>
      <x:c r="F11" s="16" t="str">
        <x:v>UNRELEASED</x:v>
      </x:c>
      <x:c r="G11" s="16" t="str">
        <x:v>keyboard_dimensions_measured; keyboard_corner_coupon_pass; keyboard_seam_coupon_pass; keyboard_station_registration_coupon_pass; tray_clearance_holes_coupon_pass; geometry_matches_measurements; keyboard_left_first_article_pass; qidi_studio_roundtrip_confirmed</x:v>
      </x:c>
      <x:c r="H11" s="16" t="str">
        <x:v>keyboard_station_pair_postprint_pass</x:v>
      </x:c>
      <x:c r="I11" s="16" t="str">
        <x:v>station_remove_reinstall_repeatability_pass; keyboard_fixture_assembly_pass</x:v>
      </x:c>
    </x:row>
    <x:row r="12">
      <x:c r="A12" s="20" t="str">
        <x:v>03A</x:v>
      </x:c>
      <x:c r="B12" s="20" t="str">
        <x:v>YES</x:v>
      </x:c>
      <x:c r="C12" s="20" t="str">
        <x:v>first_article</x:v>
      </x:c>
      <x:c r="D12" s="20" t="str">
        <x:v>KIT-PHONE</x:v>
      </x:c>
      <x:c r="E12" s="20" t="str">
        <x:v>UNRELEASED</x:v>
      </x:c>
      <x:c r="F12" s="20" t="str">
        <x:v>UNRELEASED</x:v>
      </x:c>
      <x:c r="G12" s="20" t="str">
        <x:v>phone_dimensions_measured; phone_side_features_measured; phone_cable_measured; phone_width_coupon_pass; phone_station_registration_coupon_pass; phone_m4_captive_nut_coupon_pass; phone_station_m3_insert_coupon_pass; cable_tie_saddle_coupon_pass; cradle_m4_washer_coupon_pass; geometry_matches_measurements; qidi_studio_roundtrip_confirmed</x:v>
      </x:c>
      <x:c r="H12" s="20" t="str">
        <x:v>phone_tcp_station_postprint_pass</x:v>
      </x:c>
      <x:c r="I12" s="20" t="str">
        <x:v>station_remove_reinstall_repeatability_pass; phone_fixture_assembly_pass</x:v>
      </x:c>
    </x:row>
    <x:row r="13">
      <x:c r="A13" s="16" t="str">
        <x:v>03B</x:v>
      </x:c>
      <x:c r="B13" s="16" t="str">
        <x:v>YES</x:v>
      </x:c>
      <x:c r="C13" s="16" t="str">
        <x:v>production</x:v>
      </x:c>
      <x:c r="D13" s="16" t="str">
        <x:v>KIT-KB</x:v>
      </x:c>
      <x:c r="E13" s="16" t="str">
        <x:v>UNRELEASED</x:v>
      </x:c>
      <x:c r="F13" s="16" t="str">
        <x:v>UNRELEASED</x:v>
      </x:c>
      <x:c r="G13" s="16" t="str">
        <x:v>keyboard_dimensions_measured; keyboard_corner_coupon_pass; general_clearance_holes_coupon_pass; setup_hardware_coupon_pass; geometry_matches_measurements; qidi_studio_roundtrip_confirmed</x:v>
      </x:c>
      <x:c r="H13" s="16" t="str">
        <x:v>keyboard_clamps_postprint_pass</x:v>
      </x:c>
      <x:c r="I13" s="16" t="str">
        <x:v>keyboard_fixture_assembly_pass</x:v>
      </x:c>
    </x:row>
    <x:row r="14">
      <x:c r="A14" s="20" t="str">
        <x:v>03C1</x:v>
      </x:c>
      <x:c r="B14" s="20" t="str">
        <x:v>YES</x:v>
      </x:c>
      <x:c r="C14" s="20" t="str">
        <x:v>first_article</x:v>
      </x:c>
      <x:c r="D14" s="20" t="str">
        <x:v>KIT-PHONE</x:v>
      </x:c>
      <x:c r="E14" s="20" t="str">
        <x:v>UNRELEASED</x:v>
      </x:c>
      <x:c r="F14" s="20" t="str">
        <x:v>UNRELEASED</x:v>
      </x:c>
      <x:c r="G14" s="20" t="str">
        <x:v>phone_dimensions_measured; phone_side_features_measured; phone_width_coupon_pass; phone_m4_captive_nut_coupon_pass; cradle_m4_washer_coupon_pass; geometry_matches_measurements; qidi_studio_roundtrip_confirmed</x:v>
      </x:c>
      <x:c r="H14" s="20" t="str">
        <x:v>phone_clamp_rail_first_article_pass</x:v>
      </x:c>
      <x:c r="I14" s="20" t="str">
        <x:v>phone_fixture_assembly_pass</x:v>
      </x:c>
    </x:row>
    <x:row r="15">
      <x:c r="A15" s="16" t="str">
        <x:v>03C2</x:v>
      </x:c>
      <x:c r="B15" s="16" t="str">
        <x:v>YES</x:v>
      </x:c>
      <x:c r="C15" s="16" t="str">
        <x:v>production</x:v>
      </x:c>
      <x:c r="D15" s="16" t="str">
        <x:v>KIT-BOARD-SETUP</x:v>
      </x:c>
      <x:c r="E15" s="16" t="str">
        <x:v>UNRELEASED</x:v>
      </x:c>
      <x:c r="F15" s="16" t="str">
        <x:v>UNRELEASED</x:v>
      </x:c>
      <x:c r="G15" s="16" t="str">
        <x:v>tag_stock_measured; tag_artwork_scale_pass; board_setup_template_scale_pass; geometry_matches_measurements; qidi_studio_roundtrip_confirmed</x:v>
      </x:c>
      <x:c r="H15" s="16" t="str">
        <x:v>tag_application_tool_postprint_pass; board_setup_template_scale_pass</x:v>
      </x:c>
      <x:c r="I15" s="16" t="str">
        <x:v>board_fabrication_pass; tag_direct_installation_pass; tag_plane_placement_measured</x:v>
      </x:c>
    </x:row>
    <x:row r="16">
      <x:c r="A16" s="20" t="str">
        <x:v>03C3</x:v>
      </x:c>
      <x:c r="B16" s="20" t="str">
        <x:v>NO</x:v>
      </x:c>
      <x:c r="C16" s="20" t="str">
        <x:v>production</x:v>
      </x:c>
      <x:c r="D16" s="20" t="str">
        <x:v>KIT-VISION-CAM</x:v>
      </x:c>
      <x:c r="E16" s="20" t="str">
        <x:v>UNRELEASED</x:v>
      </x:c>
      <x:c r="F16" s="20" t="str">
        <x:v>NOT_SELECTED</x:v>
      </x:c>
      <x:c r="G16" s="20" t="str">
        <x:v>fixed_camera_fallback_architecture_released; petg_general_profile_calibrated; camera_mount_interface_measured; general_clearance_holes_coupon_pass; setup_hardware_coupon_pass; geometry_matches_measurements; qidi_studio_roundtrip_confirmed</x:v>
      </x:c>
      <x:c r="H16" s="20" t="str">
        <x:v>camera_plate_hardware_pass</x:v>
      </x:c>
      <x:c r="I16" s="20" t="str"/>
    </x:row>
    <x:row r="17">
      <x:c r="A17" s="16" t="str">
        <x:v>03D</x:v>
      </x:c>
      <x:c r="B17" s="16" t="str">
        <x:v>YES</x:v>
      </x:c>
      <x:c r="C17" s="16" t="str">
        <x:v>first_article</x:v>
      </x:c>
      <x:c r="D17" s="16" t="str">
        <x:v>KIT-PUCK</x:v>
      </x:c>
      <x:c r="E17" s="16" t="str">
        <x:v>UNRELEASED</x:v>
      </x:c>
      <x:c r="F17" s="16" t="str">
        <x:v>UNRELEASED</x:v>
      </x:c>
      <x:c r="G17" s="16" t="str">
        <x:v>calibration_clearance_holes_coupon_pass; phone_station_registration_coupon_pass; geometry_matches_measurements; qidi_studio_roundtrip_confirmed</x:v>
      </x:c>
      <x:c r="H17" s="16" t="str">
        <x:v>calibration_puck_datum_pass</x:v>
      </x:c>
      <x:c r="I17" s="16" t="str"/>
    </x:row>
    <x:row r="18">
      <x:c r="A18" s="20" t="str">
        <x:v>04A</x:v>
      </x:c>
      <x:c r="B18" s="20" t="str">
        <x:v>YES</x:v>
      </x:c>
      <x:c r="C18" s="20" t="str">
        <x:v>route</x:v>
      </x:c>
      <x:c r="D18" s="20" t="str">
        <x:v>KIT-TOOL-COMMON</x:v>
      </x:c>
      <x:c r="E18" s="20" t="str">
        <x:v>UNRELEASED</x:v>
      </x:c>
      <x:c r="F18" s="20" t="str">
        <x:v>UNRELEASED</x:v>
      </x:c>
      <x:c r="G18" s="20" t="str">
        <x:v>compliant_tool_m3_insert_coupon_pass; gripper_interface_measured; gripper_coupon_pass; spring_dimensions_measured; spring_fit_coupon_pass; precision_m3_head_coupon_pass; geometry_matches_measurements; qidi_studio_roundtrip_confirmed</x:v>
      </x:c>
      <x:c r="H18" s="20" t="str">
        <x:v>tool_body_postprint_pass</x:v>
      </x:c>
      <x:c r="I18" s="20" t="str">
        <x:v>tool_assembled_motion_pass</x:v>
      </x:c>
    </x:row>
    <x:row r="19">
      <x:c r="A19" s="16" t="str">
        <x:v>04B</x:v>
      </x:c>
      <x:c r="B19" s="16" t="str">
        <x:v>YES</x:v>
      </x:c>
      <x:c r="C19" s="16" t="str">
        <x:v>route</x:v>
      </x:c>
      <x:c r="D19" s="16" t="str">
        <x:v>KIT-TOOL-PHONE</x:v>
      </x:c>
      <x:c r="E19" s="16" t="str">
        <x:v>UNRELEASED</x:v>
      </x:c>
      <x:c r="F19" s="16" t="str">
        <x:v>UNRELEASED</x:v>
      </x:c>
      <x:c r="G19" s="16" t="str">
        <x:v>petg_adapter_profile_calibrated; stylus_diameter_measured; stylus_gauge_coupon_pass; adapter_retention_method_selected; qidi_studio_roundtrip_confirmed</x:v>
      </x:c>
      <x:c r="H19" s="16" t="str">
        <x:v>stylus_collar_retention_pass</x:v>
      </x:c>
      <x:c r="I19" s="16" t="str">
        <x:v>stylus_function_pass; tool_assembled_motion_pass</x:v>
      </x:c>
    </x:row>
    <x:row r="20">
      <x:c r="A20" s="20" t="str">
        <x:v>04C</x:v>
      </x:c>
      <x:c r="B20" s="20" t="str">
        <x:v>YES</x:v>
      </x:c>
      <x:c r="C20" s="20" t="str">
        <x:v>route</x:v>
      </x:c>
      <x:c r="D20" s="20" t="str">
        <x:v>KIT-TOOL-KB</x:v>
      </x:c>
      <x:c r="E20" s="20" t="str">
        <x:v>UNRELEASED</x:v>
      </x:c>
      <x:c r="F20" s="20" t="str">
        <x:v>UNRELEASED</x:v>
      </x:c>
      <x:c r="G20" s="20" t="str">
        <x:v>petg_adapter_profile_calibrated; keyboard_rod_measured; adapter_retention_method_selected; geometry_matches_measurements; qidi_studio_roundtrip_confirmed</x:v>
      </x:c>
      <x:c r="H20" s="20" t="str">
        <x:v>rod_bushing_retention_pass</x:v>
      </x:c>
      <x:c r="I20" s="20" t="str">
        <x:v>tool_assembled_motion_pass</x:v>
      </x:c>
    </x:row>
    <x:row r="21">
      <x:c r="A21" s="16" t="str">
        <x:v>05A</x:v>
      </x:c>
      <x:c r="B21" s="16" t="str">
        <x:v>YES</x:v>
      </x:c>
      <x:c r="C21" s="16" t="str">
        <x:v>first_article</x:v>
      </x:c>
      <x:c r="D21" s="16" t="str">
        <x:v>KIT-PHONE</x:v>
      </x:c>
      <x:c r="E21" s="16" t="str">
        <x:v>UNRELEASED</x:v>
      </x:c>
      <x:c r="F21" s="16" t="str">
        <x:v>UNRELEASED</x:v>
      </x:c>
      <x:c r="G21" s="16" t="str">
        <x:v>tpu_profile_calibrated; qidi_studio_roundtrip_confirmed</x:v>
      </x:c>
      <x:c r="H21" s="16" t="str">
        <x:v>phone_tpu_retention_coupon_pass</x:v>
      </x:c>
      <x:c r="I21" s="16" t="str"/>
    </x:row>
    <x:row r="22">
      <x:c r="A22" s="20" t="str">
        <x:v>05B</x:v>
      </x:c>
      <x:c r="B22" s="20" t="str">
        <x:v>YES</x:v>
      </x:c>
      <x:c r="C22" s="20" t="str">
        <x:v>production</x:v>
      </x:c>
      <x:c r="D22" s="20" t="str">
        <x:v>KIT-PHONE</x:v>
      </x:c>
      <x:c r="E22" s="20" t="str">
        <x:v>UNRELEASED</x:v>
      </x:c>
      <x:c r="F22" s="20" t="str">
        <x:v>UNRELEASED</x:v>
      </x:c>
      <x:c r="G22" s="20" t="str">
        <x:v>tpu_profile_calibrated; phone_tpu_retention_coupon_pass; qidi_studio_roundtrip_confirmed</x:v>
      </x:c>
      <x:c r="H22" s="20" t="str">
        <x:v>phone_tpu_batch_postprint_pass</x:v>
      </x:c>
      <x:c r="I22" s="20" t="str">
        <x:v>phone_fixture_assembly_pass</x:v>
      </x:c>
    </x:row>
    <x:row r="23">
      <x:c r="A23" s="16" t="str">
        <x:v>05C</x:v>
      </x:c>
      <x:c r="B23" s="16" t="str">
        <x:v>YES</x:v>
      </x:c>
      <x:c r="C23" s="16" t="str">
        <x:v>first_article</x:v>
      </x:c>
      <x:c r="D23" s="16" t="str">
        <x:v>KIT-TOOL-KB</x:v>
      </x:c>
      <x:c r="E23" s="16" t="str">
        <x:v>UNRELEASED</x:v>
      </x:c>
      <x:c r="F23" s="16" t="str">
        <x:v>UNRELEASED</x:v>
      </x:c>
      <x:c r="G23" s="16" t="str">
        <x:v>tpu_profile_calibrated; keyboard_rod_measured; qidi_studio_roundtrip_confirmed</x:v>
      </x:c>
      <x:c r="H23" s="16" t="str">
        <x:v>keyboard_tpu_retention_coupon_pass</x:v>
      </x:c>
      <x:c r="I23" s="16" t="str"/>
    </x:row>
    <x:row r="24">
      <x:c r="A24" s="20" t="str">
        <x:v>05D</x:v>
      </x:c>
      <x:c r="B24" s="20" t="str">
        <x:v>YES</x:v>
      </x:c>
      <x:c r="C24" s="20" t="str">
        <x:v>production</x:v>
      </x:c>
      <x:c r="D24" s="20" t="str">
        <x:v>KIT-TOOL-KB</x:v>
      </x:c>
      <x:c r="E24" s="20" t="str">
        <x:v>UNRELEASED</x:v>
      </x:c>
      <x:c r="F24" s="20" t="str">
        <x:v>UNRELEASED</x:v>
      </x:c>
      <x:c r="G24" s="20" t="str">
        <x:v>tpu_profile_calibrated; keyboard_rod_measured; keyboard_tpu_retention_coupon_pass; qidi_studio_roundtrip_confirmed</x:v>
      </x:c>
      <x:c r="H24" s="20" t="str">
        <x:v>keyboard_tpu_batch_postprint_pass</x:v>
      </x:c>
      <x:c r="I24" s="20" t="str">
        <x:v>tool_assembled_motion_pass</x:v>
      </x:c>
    </x:row>
    <x:row r="25">
      <x:c r="A25" s="16" t="str">
        <x:v>06</x:v>
      </x:c>
      <x:c r="B25" s="16" t="str">
        <x:v>NO</x:v>
      </x:c>
      <x:c r="C25" s="16" t="str">
        <x:v>diagnostic</x:v>
      </x:c>
      <x:c r="D25" s="16" t="str">
        <x:v>KIT-MAST</x:v>
      </x:c>
      <x:c r="E25" s="16" t="str">
        <x:v>UNRELEASED</x:v>
      </x:c>
      <x:c r="F25" s="16" t="str">
        <x:v>NOT_SELECTED</x:v>
      </x:c>
      <x:c r="G25" s="16" t="str">
        <x:v>fixed_camera_fallback_architecture_released; asa_profile_calibrated</x:v>
      </x:c>
      <x:c r="H25" s="16" t="str">
        <x:v>asa_mast_socket_coupon_pass; asa_m5_nut_coupon_pass; asa_m5_clearance_coupon_pass</x:v>
      </x:c>
      <x:c r="I25" s="16" t="str"/>
    </x:row>
    <x:row r="26">
      <x:c r="A26" s="20" t="str">
        <x:v>07A</x:v>
      </x:c>
      <x:c r="B26" s="20" t="str">
        <x:v>NO</x:v>
      </x:c>
      <x:c r="C26" s="20" t="str">
        <x:v>first_article</x:v>
      </x:c>
      <x:c r="D26" s="20" t="str">
        <x:v>KIT-MAST</x:v>
      </x:c>
      <x:c r="E26" s="20" t="str">
        <x:v>UNRELEASED</x:v>
      </x:c>
      <x:c r="F26" s="20" t="str">
        <x:v>NOT_SELECTED</x:v>
      </x:c>
      <x:c r="G26" s="20" t="str">
        <x:v>fixed_camera_fallback_architecture_released; asa_profile_calibrated; asa_mast_socket_coupon_pass; asa_m5_nut_coupon_pass; asa_m5_clearance_coupon_pass; geometry_matches_measurements; qidi_studio_roundtrip_confirmed</x:v>
      </x:c>
      <x:c r="H26" s="20" t="str">
        <x:v>mast_foot_first_article_pass</x:v>
      </x:c>
      <x:c r="I26" s="20" t="str"/>
    </x:row>
    <x:row r="27">
      <x:c r="A27" s="17" t="str">
        <x:v>07B</x:v>
      </x:c>
      <x:c r="B27" s="17" t="str">
        <x:v>NO</x:v>
      </x:c>
      <x:c r="C27" s="17" t="str">
        <x:v>optional</x:v>
      </x:c>
      <x:c r="D27" s="17" t="str">
        <x:v>KIT-MAST</x:v>
      </x:c>
      <x:c r="E27" s="17" t="str">
        <x:v>UNRELEASED</x:v>
      </x:c>
      <x:c r="F27" s="17" t="str">
        <x:v>NOT_SELECTED</x:v>
      </x:c>
      <x:c r="G27" s="17" t="str">
        <x:v>fixed_camera_fallback_architecture_released; asa_profile_calibrated; asa_mast_socket_coupon_pass; asa_m5_nut_coupon_pass; asa_m5_clearance_coupon_pass; geometry_matches_measurements; mast_foot_first_article_pass; qidi_studio_roundtrip_confirmed</x:v>
      </x:c>
      <x:c r="H27" s="17" t="str">
        <x:v>mast_second_foot_postprint_pass</x:v>
      </x:c>
      <x:c r="I27" s="17" t="str">
        <x:v>mast_pair_installation_pass</x:v>
      </x:c>
    </x:row>
  </x:sheetData>
  <x:mergeCells>
    <x:mergeCell ref="A1:I1"/>
  </x:mergeCells>
  <x:conditionalFormatting sqref="E4:E27">
    <x:cfRule type="containsText" dxfId="80" priority="1" operator="containsText" text="PASS"/>
    <x:cfRule type="containsText" dxfId="81" priority="2" operator="containsText" text="READY"/>
    <x:cfRule type="containsText" dxfId="82" priority="3" operator="containsText" text="WAITING"/>
    <x:cfRule type="containsText" dxfId="83" priority="4" operator="containsText" text="NOT_TESTED"/>
    <x:cfRule type="containsText" dxfId="84" priority="5" operator="containsText" text="NOT_SELECTED"/>
    <x:cfRule type="containsText" dxfId="85" priority="6" operator="containsText" text="HOLD"/>
    <x:cfRule type="containsText" dxfId="86" priority="7" operator="containsText" text="OPEN"/>
    <x:cfRule type="containsText" dxfId="87" priority="8" operator="containsText" text="FAIL"/>
  </x:conditionalFormatting>
  <x:conditionalFormatting sqref="F4:F27">
    <x:cfRule type="containsText" dxfId="88" priority="9" operator="containsText" text="PASS"/>
    <x:cfRule type="containsText" dxfId="89" priority="10" operator="containsText" text="READY"/>
    <x:cfRule type="containsText" dxfId="90" priority="11" operator="containsText" text="WAITING"/>
    <x:cfRule type="containsText" dxfId="91" priority="12" operator="containsText" text="NOT_TESTED"/>
    <x:cfRule type="containsText" dxfId="92" priority="13" operator="containsText" text="NOT_SELECTED"/>
    <x:cfRule type="containsText" dxfId="93" priority="14" operator="containsText" text="HOLD"/>
    <x:cfRule type="containsText" dxfId="94" priority="15" operator="containsText" text="OPEN"/>
    <x:cfRule type="containsText" dxfId="95" priority="16" operator="containsText" text="FAIL"/>
  </x:conditionalFormatting>
  <x:pageMargins left="0.7" right="0.7" top="0.75" bottom="0.75" header="0.3" footer="0.3"/>
  <x:tableParts count="1">
    <x:tablePart xmlns:r="http://schemas.openxmlformats.org/officeDocument/2006/relationships" r:id="R20ad465e2a13434f"/>
  </x:tableParts>
</x:worksheet>
</file>